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1" defaultThemeVersion="166925"/>
  <mc:AlternateContent xmlns:mc="http://schemas.openxmlformats.org/markup-compatibility/2006">
    <mc:Choice Requires="x15">
      <x15ac:absPath xmlns:x15ac="http://schemas.microsoft.com/office/spreadsheetml/2010/11/ac" url="/Users/manuel/Dropbox/GitHub/repos/friendly-state-machine/data/"/>
    </mc:Choice>
  </mc:AlternateContent>
  <xr:revisionPtr revIDLastSave="0" documentId="13_ncr:1_{040816B3-6F50-4E4D-ACCD-275690AD4A04}" xr6:coauthVersionLast="47" xr6:coauthVersionMax="47" xr10:uidLastSave="{00000000-0000-0000-0000-000000000000}"/>
  <bookViews>
    <workbookView xWindow="0" yWindow="880" windowWidth="36000" windowHeight="22500" tabRatio="500" xr2:uid="{00000000-000D-0000-FFFF-FFFF00000000}"/>
  </bookViews>
  <sheets>
    <sheet name="Cues" sheetId="2" r:id="rId1"/>
    <sheet name="cues_canonical" sheetId="9" r:id="rId2"/>
    <sheet name="bot_commands" sheetId="6" r:id="rId3"/>
    <sheet name="td_commands" sheetId="10" r:id="rId4"/>
    <sheet name="av_commands" sheetId="8" r:id="rId5"/>
    <sheet name="triggers" sheetId="7" r:id="rId6"/>
    <sheet name="Settings" sheetId="3" r:id="rId7"/>
    <sheet name="Structure" sheetId="4" r:id="rId8"/>
    <sheet name="Scratch" sheetId="5" r:id="rId9"/>
  </sheets>
  <definedNames>
    <definedName name="_xlnm._FilterDatabase" localSheetId="4" hidden="1">av_commands!$A$1:$B$1</definedName>
    <definedName name="_xlnm._FilterDatabase" localSheetId="2" hidden="1">bot_commands!$A$1:$B$1</definedName>
    <definedName name="_xlnm._FilterDatabase" localSheetId="0" hidden="1">Cues!$A$3:$BZ$137</definedName>
    <definedName name="_xlnm._FilterDatabase" localSheetId="3" hidden="1">td_commands!$A$1:$B$1</definedName>
    <definedName name="_xlnm._FilterDatabase" localSheetId="5" hidden="1">triggers!$A$1:$B$11</definedName>
    <definedName name="audio_base_azure">Settings!$B$33</definedName>
    <definedName name="audio_base_path">Settings!$B$32</definedName>
    <definedName name="channel_av_listen">Settings!$B$28</definedName>
    <definedName name="channel_av_observe">Settings!$B$26</definedName>
    <definedName name="channel_av_register">Settings!$B$27</definedName>
    <definedName name="channel_bw_generate">Settings!$B$30</definedName>
    <definedName name="channel_td_makefakes">Settings!$B$20</definedName>
    <definedName name="channel_td_mood">Settings!$B$21</definedName>
    <definedName name="channel_td_pause">Settings!$B$23</definedName>
    <definedName name="channel_td_screen">Settings!$B$22</definedName>
    <definedName name="do_anim">Settings!$B$2</definedName>
    <definedName name="flag_local_ip">Settings!$B$3</definedName>
    <definedName name="flag_local_play">Settings!$B$4</definedName>
    <definedName name="j_cls">Settings!$I$48</definedName>
    <definedName name="j_cls_brak">Settings!$I$47</definedName>
    <definedName name="j_com">Settings!$I$50</definedName>
    <definedName name="j_end">Settings!$I$45</definedName>
    <definedName name="j_end_num">Settings!$I$46</definedName>
    <definedName name="j_nxt">Settings!$I$39</definedName>
    <definedName name="j_nxt_num">Settings!$I$41</definedName>
    <definedName name="j_opn">Settings!$I$37</definedName>
    <definedName name="j_opn_brak">Settings!$I$35</definedName>
    <definedName name="j_opn_solo">Settings!$I$36</definedName>
    <definedName name="j_qot">Settings!$I$49</definedName>
    <definedName name="j_sep">Settings!$I$38</definedName>
    <definedName name="J_sep_num">Settings!$I$40</definedName>
    <definedName name="J_sub_cls">Settings!$I$43</definedName>
    <definedName name="j_sub_cls_num">Settings!$I$44</definedName>
    <definedName name="j_sub_opn">Settings!$I$42</definedName>
    <definedName name="label_anger">Cues!$BW$3</definedName>
    <definedName name="label_animate">Cues!$BG$2</definedName>
    <definedName name="label_azure">Cues!$BL$2</definedName>
    <definedName name="label_deepfake_de">Cues!$AO$3</definedName>
    <definedName name="label_deepfake_en">Cues!$AN$3</definedName>
    <definedName name="label_deepfake_filename">Cues!$AK$3</definedName>
    <definedName name="label_deepfake_id">Cues!$AJ$3</definedName>
    <definedName name="label_deepfake_name">Cues!$AH$3</definedName>
    <definedName name="label_deepfake_voice">Cues!$AI$3</definedName>
    <definedName name="label_degree">Cues!$BM$3</definedName>
    <definedName name="label_disgust">Cues!$BV$3</definedName>
    <definedName name="label_emotion">Cues!$BS$2</definedName>
    <definedName name="label_fake_expression">Cues!$AR$3</definedName>
    <definedName name="label_fake_expressions">Cues!$AP$3</definedName>
    <definedName name="label_fake_intensity">Cues!$AT$3</definedName>
    <definedName name="label_fake_start_frame">Cues!$AS$3</definedName>
    <definedName name="label_fear">Cues!$BU$3</definedName>
    <definedName name="label_freq">Cues!$CA$3</definedName>
    <definedName name="label_gpt_emo">Cues!$BD$3</definedName>
    <definedName name="label_gpt_tone">Cues!$BE$3</definedName>
    <definedName name="label_joy">Cues!$BT$3</definedName>
    <definedName name="label_meat">Cues!$Y$3</definedName>
    <definedName name="label_meat_channel">Cues!$Z$3</definedName>
    <definedName name="label_mood">Cues!$BY$3</definedName>
    <definedName name="label_next_state">Cues!$BI$3</definedName>
    <definedName name="label_pause">Cues!$BN$3</definedName>
    <definedName name="label_pitch">Cues!$BO$3</definedName>
    <definedName name="label_post">Cues!$BH$3</definedName>
    <definedName name="label_pre">Cues!$BG$3</definedName>
    <definedName name="label_rate">Cues!$BP$3</definedName>
    <definedName name="label_role">Cues!$AE$3</definedName>
    <definedName name="label_sad">Cues!$BS$3</definedName>
    <definedName name="label_scale">Cues!$BZ$3</definedName>
    <definedName name="label_sg">Cues!$BY$2</definedName>
    <definedName name="label_style">Cues!$BL$3</definedName>
    <definedName name="label_text">Cues!$AF$3</definedName>
    <definedName name="label_turn">Cues!$A$3</definedName>
    <definedName name="label_use">Cues!#REF!</definedName>
    <definedName name="label_volume">Cues!$BQ$3</definedName>
    <definedName name="language">Settings!$B$1</definedName>
    <definedName name="languages">Settings!$H$35:$H$38</definedName>
    <definedName name="list_animations">Settings!$D$35:$D$53</definedName>
    <definedName name="list_azu_styles">Settings!$A$35:$A$45</definedName>
    <definedName name="list_gpt_emotion">Settings!$B$35:$B$40</definedName>
    <definedName name="list_gpt_tones">Settings!$C$35:$C$37</definedName>
    <definedName name="list_ips">Settings!$G$35:$G$44</definedName>
    <definedName name="list_mask_roles">Settings!$F$35:$F$37</definedName>
    <definedName name="list_sg_moods">Settings!$J$35:$J$44</definedName>
    <definedName name="list_unreal_states">Settings!$E$35:$E$41</definedName>
    <definedName name="master_list">Cues!$A$3:$BZ$137</definedName>
    <definedName name="neutral">Settings!$B$36:$B$40</definedName>
    <definedName name="OLE_LINK57" localSheetId="0">Cues!#REF!</definedName>
    <definedName name="osc_channel_meat_fake">Settings!$B$14</definedName>
    <definedName name="osc_channel_meat_play">Settings!$B$15</definedName>
    <definedName name="osc_channel_meat_say">Settings!$B$13</definedName>
    <definedName name="osc_channel_meat_state">Settings!$B$16</definedName>
    <definedName name="osc_channel_meat_stub">Settings!$B$18</definedName>
    <definedName name="osc_channel_play_audio">Settings!$B$17</definedName>
    <definedName name="osc_channel_say">Settings!#REF!</definedName>
    <definedName name="osc_channel_state">Settings!#REF!</definedName>
    <definedName name="osc_exe_npmosc">Settings!$B$6</definedName>
    <definedName name="osc_exe_oscutil">Settings!#REF!</definedName>
    <definedName name="osc_exe_sendosc">Settings!$B$7</definedName>
    <definedName name="osc_idle">Settings!#REF!</definedName>
    <definedName name="osc_ip">Settings!$B$9</definedName>
    <definedName name="osc_port">Settings!#REF!</definedName>
    <definedName name="osc_port_control">Settings!$B$10</definedName>
    <definedName name="osc_port_unreal">Settings!$B$11</definedName>
    <definedName name="osc_post_animate">Settings!#REF!</definedName>
    <definedName name="pause">Cues!$BN$3</definedName>
    <definedName name="pause_1000">Settings!#REF!</definedName>
    <definedName name="pause_1250">Settings!#REF!</definedName>
    <definedName name="pause_2000">Settings!#REF!</definedName>
    <definedName name="pause_250">Settings!#REF!</definedName>
    <definedName name="pause_500">Settings!#REF!</definedName>
    <definedName name="pause_750">Settings!#REF!</definedName>
    <definedName name="pause_post">Scratch!$B$10</definedName>
    <definedName name="pause_pre">Scratch!$B$9</definedName>
    <definedName name="_xlnm.Print_Area" localSheetId="7">Structure!$B$1:$I$37</definedName>
    <definedName name="table_bot_commands">bot_commands!$A$2:$B$30</definedName>
    <definedName name="table_observe_commands">av_commands!$A$2:$B$30</definedName>
    <definedName name="table_td_commands">td_commands!$A$2:$B$31</definedName>
    <definedName name="table_triggers">triggers!$A$2:$B$19</definedName>
    <definedName name="trigger_clone_spoke">triggers!$A$2</definedName>
    <definedName name="trigger_mask_spoke">triggers!$A$4</definedName>
    <definedName name="trigger_user_enters">triggers!$A$5</definedName>
    <definedName name="trigger_user_faceaway">triggers!$A$6</definedName>
    <definedName name="trigger_user_facetowards">triggers!$A$7</definedName>
    <definedName name="trigger_user_spoke">triggers!$A$10</definedName>
    <definedName name="voice_name">Settings!$B$5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1" i="2" l="1"/>
  <c r="CB127" i="2"/>
  <c r="AD127" i="2"/>
  <c r="AC127" i="2"/>
  <c r="AB127" i="2" a="1"/>
  <c r="AB127" i="2" s="1"/>
  <c r="Z127" i="2"/>
  <c r="S127" i="2"/>
  <c r="T127" i="2" s="1"/>
  <c r="P127" i="2"/>
  <c r="X127" i="2" s="1"/>
  <c r="O127" i="2"/>
  <c r="N127" i="2"/>
  <c r="M127" i="2"/>
  <c r="I127" i="2"/>
  <c r="J127" i="2" s="1"/>
  <c r="A127" i="2"/>
  <c r="F127" i="2" s="1"/>
  <c r="G127" i="2" s="1"/>
  <c r="H127" i="2" s="1"/>
  <c r="AJ127" i="2" l="1"/>
  <c r="AK127" i="2" s="1"/>
  <c r="K127" i="2" s="1"/>
  <c r="Q127" i="2"/>
  <c r="V127" i="2"/>
  <c r="W127" i="2"/>
  <c r="CB125" i="2" l="1"/>
  <c r="AD125" i="2"/>
  <c r="AC125" i="2"/>
  <c r="AB125" i="2" a="1"/>
  <c r="AB125" i="2" s="1"/>
  <c r="Z125" i="2"/>
  <c r="S125" i="2"/>
  <c r="T125" i="2" s="1"/>
  <c r="M125" i="2"/>
  <c r="N125" i="2" s="1"/>
  <c r="O125" i="2" s="1"/>
  <c r="I125" i="2"/>
  <c r="J125" i="2" s="1"/>
  <c r="H125" i="2"/>
  <c r="G125" i="2"/>
  <c r="F125" i="2"/>
  <c r="A125" i="2"/>
  <c r="AJ125" i="2" s="1"/>
  <c r="AK125" i="2" s="1"/>
  <c r="CB122" i="2"/>
  <c r="CB121" i="2"/>
  <c r="CB120" i="2"/>
  <c r="CB119" i="2"/>
  <c r="CB118" i="2"/>
  <c r="CB117" i="2"/>
  <c r="CB116" i="2"/>
  <c r="CB115" i="2"/>
  <c r="CB114" i="2"/>
  <c r="CB113" i="2"/>
  <c r="CB112" i="2"/>
  <c r="CB111" i="2"/>
  <c r="CB110" i="2"/>
  <c r="CB109" i="2"/>
  <c r="CB108" i="2"/>
  <c r="CB107" i="2"/>
  <c r="CB106" i="2"/>
  <c r="CB105" i="2"/>
  <c r="CB104" i="2"/>
  <c r="CB103" i="2"/>
  <c r="CB102" i="2"/>
  <c r="CB101" i="2"/>
  <c r="CB100" i="2"/>
  <c r="CB99" i="2"/>
  <c r="CB98" i="2"/>
  <c r="CB97" i="2"/>
  <c r="CB96" i="2"/>
  <c r="CB95" i="2"/>
  <c r="CB94" i="2"/>
  <c r="CB93" i="2"/>
  <c r="CB92" i="2"/>
  <c r="CB91" i="2"/>
  <c r="CB90" i="2"/>
  <c r="CB89" i="2"/>
  <c r="CB88" i="2"/>
  <c r="CB87" i="2"/>
  <c r="CB86" i="2"/>
  <c r="CB85" i="2"/>
  <c r="CB84" i="2"/>
  <c r="CB83" i="2"/>
  <c r="CB82" i="2"/>
  <c r="CB81" i="2"/>
  <c r="CB80" i="2"/>
  <c r="CB79" i="2"/>
  <c r="CB78" i="2"/>
  <c r="CB77" i="2"/>
  <c r="CB76" i="2"/>
  <c r="CB75" i="2"/>
  <c r="CB74" i="2"/>
  <c r="CB73" i="2"/>
  <c r="CB72" i="2"/>
  <c r="CB71" i="2"/>
  <c r="CB70" i="2"/>
  <c r="CB69" i="2"/>
  <c r="CB68" i="2"/>
  <c r="CB67" i="2"/>
  <c r="CB66" i="2"/>
  <c r="CB65" i="2"/>
  <c r="CB64" i="2"/>
  <c r="CB63" i="2"/>
  <c r="CB62" i="2"/>
  <c r="CB61" i="2"/>
  <c r="CB60" i="2"/>
  <c r="CB59" i="2"/>
  <c r="CB58" i="2"/>
  <c r="CB57" i="2"/>
  <c r="CB56" i="2"/>
  <c r="CB55" i="2"/>
  <c r="CB54" i="2"/>
  <c r="CB53" i="2"/>
  <c r="CB52" i="2"/>
  <c r="CB51" i="2"/>
  <c r="CB50" i="2"/>
  <c r="CB49" i="2"/>
  <c r="CB48" i="2"/>
  <c r="CB47" i="2"/>
  <c r="CB46" i="2"/>
  <c r="CB45" i="2"/>
  <c r="CB44" i="2"/>
  <c r="CB43" i="2"/>
  <c r="CB42" i="2"/>
  <c r="CB41" i="2"/>
  <c r="CB40" i="2"/>
  <c r="CB39" i="2"/>
  <c r="CB38" i="2"/>
  <c r="CB37" i="2"/>
  <c r="CB36" i="2"/>
  <c r="CB35" i="2"/>
  <c r="CB34" i="2"/>
  <c r="CB33" i="2"/>
  <c r="CB32" i="2"/>
  <c r="CB31" i="2"/>
  <c r="CB30" i="2"/>
  <c r="CB29" i="2"/>
  <c r="CB28" i="2"/>
  <c r="CB27" i="2"/>
  <c r="CB26" i="2"/>
  <c r="CB25" i="2"/>
  <c r="CB24" i="2"/>
  <c r="CB23" i="2"/>
  <c r="CB22" i="2"/>
  <c r="CB21" i="2"/>
  <c r="CB20" i="2"/>
  <c r="CB19" i="2"/>
  <c r="CB18" i="2"/>
  <c r="CB17" i="2"/>
  <c r="CB134" i="2"/>
  <c r="CB133" i="2"/>
  <c r="CB132" i="2"/>
  <c r="CB131" i="2"/>
  <c r="CB130" i="2"/>
  <c r="CB129" i="2"/>
  <c r="CB128" i="2"/>
  <c r="CB126" i="2"/>
  <c r="CB124" i="2"/>
  <c r="CB123" i="2"/>
  <c r="Z141" i="2"/>
  <c r="Z140" i="2"/>
  <c r="Z139" i="2"/>
  <c r="Z138" i="2"/>
  <c r="Z137" i="2"/>
  <c r="Z136" i="2"/>
  <c r="Z135" i="2"/>
  <c r="Z134" i="2"/>
  <c r="Z133" i="2"/>
  <c r="Z132" i="2"/>
  <c r="Z131" i="2"/>
  <c r="Z130" i="2"/>
  <c r="Z129" i="2"/>
  <c r="Z128" i="2"/>
  <c r="Z126"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1" i="2"/>
  <c r="Z80" i="2"/>
  <c r="Z79" i="2"/>
  <c r="Z78" i="2"/>
  <c r="Z77" i="2"/>
  <c r="Z76" i="2"/>
  <c r="Z75" i="2"/>
  <c r="Z74" i="2"/>
  <c r="Z72" i="2"/>
  <c r="Z71" i="2"/>
  <c r="Z70" i="2"/>
  <c r="Z69" i="2"/>
  <c r="Z68" i="2"/>
  <c r="Z67" i="2"/>
  <c r="Z66" i="2"/>
  <c r="Z65" i="2"/>
  <c r="Z64" i="2"/>
  <c r="Z63" i="2"/>
  <c r="Z62" i="2"/>
  <c r="Z61" i="2"/>
  <c r="Z60" i="2"/>
  <c r="Z59" i="2"/>
  <c r="Z58" i="2"/>
  <c r="Z57" i="2"/>
  <c r="Z56" i="2"/>
  <c r="Z55" i="2"/>
  <c r="Z54" i="2"/>
  <c r="Z53" i="2"/>
  <c r="Z52" i="2"/>
  <c r="Z51" i="2"/>
  <c r="Z50" i="2"/>
  <c r="Z49" i="2"/>
  <c r="Z48" i="2"/>
  <c r="Z47" i="2"/>
  <c r="Z46" i="2"/>
  <c r="Z45" i="2"/>
  <c r="Z44" i="2"/>
  <c r="Z43" i="2"/>
  <c r="Z42" i="2"/>
  <c r="Z41" i="2"/>
  <c r="Z40" i="2"/>
  <c r="Z39" i="2"/>
  <c r="Z38" i="2"/>
  <c r="Z37" i="2"/>
  <c r="Z36" i="2"/>
  <c r="Z35" i="2"/>
  <c r="Z34" i="2"/>
  <c r="Z33" i="2"/>
  <c r="Z32" i="2"/>
  <c r="Z31" i="2"/>
  <c r="Z30" i="2"/>
  <c r="Z29" i="2"/>
  <c r="Z28" i="2"/>
  <c r="Z27" i="2"/>
  <c r="Z26" i="2"/>
  <c r="Z25" i="2"/>
  <c r="Z24" i="2"/>
  <c r="Z23" i="2"/>
  <c r="Z22" i="2"/>
  <c r="Z21" i="2"/>
  <c r="Z20" i="2"/>
  <c r="Z19" i="2"/>
  <c r="Z18" i="2"/>
  <c r="Z17" i="2"/>
  <c r="Z16" i="2"/>
  <c r="Z15" i="2"/>
  <c r="Z14" i="2"/>
  <c r="Z13" i="2"/>
  <c r="Z12" i="2"/>
  <c r="Z11" i="2"/>
  <c r="Z10" i="2"/>
  <c r="Z9" i="2"/>
  <c r="Z8" i="2"/>
  <c r="Z7" i="2"/>
  <c r="Z6" i="2"/>
  <c r="Z5" i="2"/>
  <c r="Z4" i="2"/>
  <c r="Z73" i="2"/>
  <c r="H121" i="9"/>
  <c r="G121" i="9"/>
  <c r="F121" i="9"/>
  <c r="E121" i="9"/>
  <c r="D121" i="9"/>
  <c r="C121" i="9"/>
  <c r="B121" i="9"/>
  <c r="A121" i="9"/>
  <c r="H120" i="9"/>
  <c r="G120" i="9"/>
  <c r="F120" i="9"/>
  <c r="E120" i="9"/>
  <c r="D120" i="9"/>
  <c r="C120" i="9"/>
  <c r="B120" i="9"/>
  <c r="A120" i="9"/>
  <c r="H119" i="9"/>
  <c r="E119" i="9"/>
  <c r="D119" i="9"/>
  <c r="C119" i="9"/>
  <c r="B119" i="9"/>
  <c r="A119" i="9"/>
  <c r="H118" i="9"/>
  <c r="E118" i="9"/>
  <c r="D118" i="9"/>
  <c r="C118" i="9"/>
  <c r="B118" i="9"/>
  <c r="A118" i="9"/>
  <c r="H117" i="9"/>
  <c r="E117" i="9"/>
  <c r="D117" i="9"/>
  <c r="C117" i="9"/>
  <c r="B117" i="9"/>
  <c r="A117" i="9"/>
  <c r="H116" i="9"/>
  <c r="G116" i="9"/>
  <c r="F116" i="9"/>
  <c r="E116" i="9"/>
  <c r="D116" i="9"/>
  <c r="C116" i="9"/>
  <c r="B116" i="9"/>
  <c r="A116" i="9"/>
  <c r="H115" i="9"/>
  <c r="E115" i="9"/>
  <c r="D115" i="9"/>
  <c r="C115" i="9"/>
  <c r="B115" i="9"/>
  <c r="A115" i="9"/>
  <c r="H114" i="9"/>
  <c r="F114" i="9"/>
  <c r="E114" i="9"/>
  <c r="D114" i="9"/>
  <c r="C114" i="9"/>
  <c r="B114" i="9"/>
  <c r="A114" i="9"/>
  <c r="H113" i="9"/>
  <c r="E113" i="9"/>
  <c r="D113" i="9"/>
  <c r="C113" i="9"/>
  <c r="B113" i="9"/>
  <c r="A113" i="9"/>
  <c r="H112" i="9"/>
  <c r="F112" i="9"/>
  <c r="E112" i="9"/>
  <c r="D112" i="9"/>
  <c r="C112" i="9"/>
  <c r="B112" i="9"/>
  <c r="A112" i="9"/>
  <c r="H111" i="9"/>
  <c r="E111" i="9"/>
  <c r="D111" i="9"/>
  <c r="C111" i="9"/>
  <c r="B111" i="9"/>
  <c r="A111" i="9"/>
  <c r="H110" i="9"/>
  <c r="F110" i="9"/>
  <c r="E110" i="9"/>
  <c r="D110" i="9"/>
  <c r="C110" i="9"/>
  <c r="B110" i="9"/>
  <c r="A110" i="9"/>
  <c r="H109" i="9"/>
  <c r="E109" i="9"/>
  <c r="D109" i="9"/>
  <c r="C109" i="9"/>
  <c r="B109" i="9"/>
  <c r="A109" i="9"/>
  <c r="H108" i="9"/>
  <c r="F108" i="9"/>
  <c r="E108" i="9"/>
  <c r="D108" i="9"/>
  <c r="C108" i="9"/>
  <c r="B108" i="9"/>
  <c r="A108" i="9"/>
  <c r="H107" i="9"/>
  <c r="E107" i="9"/>
  <c r="D107" i="9"/>
  <c r="C107" i="9"/>
  <c r="B107" i="9"/>
  <c r="A107" i="9"/>
  <c r="H106" i="9"/>
  <c r="F106" i="9"/>
  <c r="E106" i="9"/>
  <c r="D106" i="9"/>
  <c r="C106" i="9"/>
  <c r="B106" i="9"/>
  <c r="A106" i="9"/>
  <c r="H105" i="9"/>
  <c r="E105" i="9"/>
  <c r="D105" i="9"/>
  <c r="C105" i="9"/>
  <c r="B105" i="9"/>
  <c r="A105" i="9"/>
  <c r="H104" i="9"/>
  <c r="F104" i="9"/>
  <c r="E104" i="9"/>
  <c r="D104" i="9"/>
  <c r="C104" i="9"/>
  <c r="B104" i="9"/>
  <c r="A104" i="9"/>
  <c r="H103" i="9"/>
  <c r="E103" i="9"/>
  <c r="C103" i="9"/>
  <c r="B103" i="9"/>
  <c r="A103" i="9"/>
  <c r="H102" i="9"/>
  <c r="F102" i="9"/>
  <c r="E102" i="9"/>
  <c r="D102" i="9"/>
  <c r="C102" i="9"/>
  <c r="B102" i="9"/>
  <c r="A102" i="9"/>
  <c r="H101" i="9"/>
  <c r="F101" i="9"/>
  <c r="E101" i="9"/>
  <c r="D101" i="9"/>
  <c r="C101" i="9"/>
  <c r="B101" i="9"/>
  <c r="A101" i="9"/>
  <c r="H100" i="9"/>
  <c r="G100" i="9"/>
  <c r="F100" i="9"/>
  <c r="E100" i="9"/>
  <c r="D100" i="9"/>
  <c r="C100" i="9"/>
  <c r="B100" i="9"/>
  <c r="A100" i="9"/>
  <c r="H99" i="9"/>
  <c r="G99" i="9"/>
  <c r="F99" i="9"/>
  <c r="E99" i="9"/>
  <c r="D99" i="9"/>
  <c r="C99" i="9"/>
  <c r="B99" i="9"/>
  <c r="A99" i="9"/>
  <c r="H98" i="9"/>
  <c r="E98" i="9"/>
  <c r="D98" i="9"/>
  <c r="C98" i="9"/>
  <c r="B98" i="9"/>
  <c r="A98" i="9"/>
  <c r="H97" i="9"/>
  <c r="E97" i="9"/>
  <c r="D97" i="9"/>
  <c r="C97" i="9"/>
  <c r="B97" i="9"/>
  <c r="A97" i="9"/>
  <c r="H96" i="9"/>
  <c r="F96" i="9"/>
  <c r="E96" i="9"/>
  <c r="D96" i="9"/>
  <c r="C96" i="9"/>
  <c r="B96" i="9"/>
  <c r="A96" i="9"/>
  <c r="H95" i="9"/>
  <c r="E95" i="9"/>
  <c r="D95" i="9"/>
  <c r="C95" i="9"/>
  <c r="B95" i="9"/>
  <c r="A95" i="9"/>
  <c r="H94" i="9"/>
  <c r="F94" i="9"/>
  <c r="E94" i="9"/>
  <c r="D94" i="9"/>
  <c r="C94" i="9"/>
  <c r="B94" i="9"/>
  <c r="A94" i="9"/>
  <c r="H93" i="9"/>
  <c r="F93" i="9"/>
  <c r="E93" i="9"/>
  <c r="D93" i="9"/>
  <c r="C93" i="9"/>
  <c r="B93" i="9"/>
  <c r="A93" i="9"/>
  <c r="H92" i="9"/>
  <c r="E92" i="9"/>
  <c r="D92" i="9"/>
  <c r="C92" i="9"/>
  <c r="B92" i="9"/>
  <c r="A92" i="9"/>
  <c r="H91" i="9"/>
  <c r="F91" i="9"/>
  <c r="E91" i="9"/>
  <c r="D91" i="9"/>
  <c r="C91" i="9"/>
  <c r="B91" i="9"/>
  <c r="A91" i="9"/>
  <c r="H90" i="9"/>
  <c r="F90" i="9"/>
  <c r="E90" i="9"/>
  <c r="D90" i="9"/>
  <c r="C90" i="9"/>
  <c r="B90" i="9"/>
  <c r="A90" i="9"/>
  <c r="H89" i="9"/>
  <c r="E89" i="9"/>
  <c r="D89" i="9"/>
  <c r="C89" i="9"/>
  <c r="B89" i="9"/>
  <c r="A89" i="9"/>
  <c r="H88" i="9"/>
  <c r="E88" i="9"/>
  <c r="D88" i="9"/>
  <c r="C88" i="9"/>
  <c r="B88" i="9"/>
  <c r="A88" i="9"/>
  <c r="H87" i="9"/>
  <c r="F87" i="9"/>
  <c r="E87" i="9"/>
  <c r="D87" i="9"/>
  <c r="C87" i="9"/>
  <c r="B87" i="9"/>
  <c r="A87" i="9"/>
  <c r="H86" i="9"/>
  <c r="E86" i="9"/>
  <c r="D86" i="9"/>
  <c r="C86" i="9"/>
  <c r="B86" i="9"/>
  <c r="A86" i="9"/>
  <c r="H85" i="9"/>
  <c r="G85" i="9"/>
  <c r="F85" i="9"/>
  <c r="E85" i="9"/>
  <c r="D85" i="9"/>
  <c r="C85" i="9"/>
  <c r="B85" i="9"/>
  <c r="A85" i="9"/>
  <c r="H84" i="9"/>
  <c r="E84" i="9"/>
  <c r="D84" i="9"/>
  <c r="C84" i="9"/>
  <c r="B84" i="9"/>
  <c r="A84" i="9"/>
  <c r="H83" i="9"/>
  <c r="F83" i="9"/>
  <c r="E83" i="9"/>
  <c r="D83" i="9"/>
  <c r="C83" i="9"/>
  <c r="B83" i="9"/>
  <c r="A83" i="9"/>
  <c r="H82" i="9"/>
  <c r="F82" i="9"/>
  <c r="E82" i="9"/>
  <c r="D82" i="9"/>
  <c r="C82" i="9"/>
  <c r="B82" i="9"/>
  <c r="A82" i="9"/>
  <c r="H81" i="9"/>
  <c r="G81" i="9"/>
  <c r="F81" i="9"/>
  <c r="E81" i="9"/>
  <c r="D81" i="9"/>
  <c r="C81" i="9"/>
  <c r="B81" i="9"/>
  <c r="A81" i="9"/>
  <c r="H80" i="9"/>
  <c r="E80" i="9"/>
  <c r="D80" i="9"/>
  <c r="C80" i="9"/>
  <c r="B80" i="9"/>
  <c r="A80" i="9"/>
  <c r="H79" i="9"/>
  <c r="F79" i="9"/>
  <c r="E79" i="9"/>
  <c r="D79" i="9"/>
  <c r="C79" i="9"/>
  <c r="B79" i="9"/>
  <c r="A79" i="9"/>
  <c r="H78" i="9"/>
  <c r="E78" i="9"/>
  <c r="D78" i="9"/>
  <c r="C78" i="9"/>
  <c r="B78" i="9"/>
  <c r="A78" i="9"/>
  <c r="H77" i="9"/>
  <c r="E77" i="9"/>
  <c r="D77" i="9"/>
  <c r="C77" i="9"/>
  <c r="B77" i="9"/>
  <c r="A77" i="9"/>
  <c r="H76" i="9"/>
  <c r="F76" i="9"/>
  <c r="E76" i="9"/>
  <c r="D76" i="9"/>
  <c r="C76" i="9"/>
  <c r="B76" i="9"/>
  <c r="A76" i="9"/>
  <c r="H75" i="9"/>
  <c r="E75" i="9"/>
  <c r="D75" i="9"/>
  <c r="C75" i="9"/>
  <c r="B75" i="9"/>
  <c r="A75" i="9"/>
  <c r="H74" i="9"/>
  <c r="F74" i="9"/>
  <c r="E74" i="9"/>
  <c r="D74" i="9"/>
  <c r="C74" i="9"/>
  <c r="B74" i="9"/>
  <c r="A74" i="9"/>
  <c r="H73" i="9"/>
  <c r="E73" i="9"/>
  <c r="D73" i="9"/>
  <c r="C73" i="9"/>
  <c r="B73" i="9"/>
  <c r="A73" i="9"/>
  <c r="H72" i="9"/>
  <c r="F72" i="9"/>
  <c r="E72" i="9"/>
  <c r="D72" i="9"/>
  <c r="C72" i="9"/>
  <c r="B72" i="9"/>
  <c r="A72" i="9"/>
  <c r="H71" i="9"/>
  <c r="E71" i="9"/>
  <c r="D71" i="9"/>
  <c r="C71" i="9"/>
  <c r="B71" i="9"/>
  <c r="A71" i="9"/>
  <c r="H70" i="9"/>
  <c r="F70" i="9"/>
  <c r="E70" i="9"/>
  <c r="D70" i="9"/>
  <c r="C70" i="9"/>
  <c r="B70" i="9"/>
  <c r="A70" i="9"/>
  <c r="H69" i="9"/>
  <c r="E69" i="9"/>
  <c r="D69" i="9"/>
  <c r="C69" i="9"/>
  <c r="B69" i="9"/>
  <c r="A69" i="9"/>
  <c r="H68" i="9"/>
  <c r="F68" i="9"/>
  <c r="E68" i="9"/>
  <c r="D68" i="9"/>
  <c r="C68" i="9"/>
  <c r="B68" i="9"/>
  <c r="A68" i="9"/>
  <c r="H67" i="9"/>
  <c r="E67" i="9"/>
  <c r="C67" i="9"/>
  <c r="B67" i="9"/>
  <c r="A67" i="9"/>
  <c r="H66" i="9"/>
  <c r="F66" i="9"/>
  <c r="E66" i="9"/>
  <c r="D66" i="9"/>
  <c r="C66" i="9"/>
  <c r="B66" i="9"/>
  <c r="A66" i="9"/>
  <c r="H65" i="9"/>
  <c r="E65" i="9"/>
  <c r="D65" i="9"/>
  <c r="C65" i="9"/>
  <c r="B65" i="9"/>
  <c r="A65" i="9"/>
  <c r="H64" i="9"/>
  <c r="F64" i="9"/>
  <c r="E64" i="9"/>
  <c r="D64" i="9"/>
  <c r="C64" i="9"/>
  <c r="B64" i="9"/>
  <c r="A64" i="9"/>
  <c r="H63" i="9"/>
  <c r="E63" i="9"/>
  <c r="D63" i="9"/>
  <c r="C63" i="9"/>
  <c r="B63" i="9"/>
  <c r="A63" i="9"/>
  <c r="H62" i="9"/>
  <c r="F62" i="9"/>
  <c r="E62" i="9"/>
  <c r="D62" i="9"/>
  <c r="C62" i="9"/>
  <c r="B62" i="9"/>
  <c r="A62" i="9"/>
  <c r="H61" i="9"/>
  <c r="F61" i="9"/>
  <c r="E61" i="9"/>
  <c r="D61" i="9"/>
  <c r="C61" i="9"/>
  <c r="B61" i="9"/>
  <c r="A61" i="9"/>
  <c r="H60" i="9"/>
  <c r="F60" i="9"/>
  <c r="E60" i="9"/>
  <c r="D60" i="9"/>
  <c r="C60" i="9"/>
  <c r="B60" i="9"/>
  <c r="A60" i="9"/>
  <c r="H59" i="9"/>
  <c r="F59" i="9"/>
  <c r="E59" i="9"/>
  <c r="D59" i="9"/>
  <c r="C59" i="9"/>
  <c r="B59" i="9"/>
  <c r="A59" i="9"/>
  <c r="H58" i="9"/>
  <c r="F58" i="9"/>
  <c r="E58" i="9"/>
  <c r="D58" i="9"/>
  <c r="C58" i="9"/>
  <c r="B58" i="9"/>
  <c r="A58" i="9"/>
  <c r="H57" i="9"/>
  <c r="F57" i="9"/>
  <c r="E57" i="9"/>
  <c r="D57" i="9"/>
  <c r="C57" i="9"/>
  <c r="B57" i="9"/>
  <c r="A57" i="9"/>
  <c r="H56" i="9"/>
  <c r="F56" i="9"/>
  <c r="E56" i="9"/>
  <c r="D56" i="9"/>
  <c r="C56" i="9"/>
  <c r="B56" i="9"/>
  <c r="A56" i="9"/>
  <c r="H55" i="9"/>
  <c r="G55" i="9"/>
  <c r="F55" i="9"/>
  <c r="E55" i="9"/>
  <c r="D55" i="9"/>
  <c r="C55" i="9"/>
  <c r="B55" i="9"/>
  <c r="A55" i="9"/>
  <c r="H54" i="9"/>
  <c r="F54" i="9"/>
  <c r="E54" i="9"/>
  <c r="D54" i="9"/>
  <c r="C54" i="9"/>
  <c r="B54" i="9"/>
  <c r="A54" i="9"/>
  <c r="H53" i="9"/>
  <c r="E53" i="9"/>
  <c r="D53" i="9"/>
  <c r="C53" i="9"/>
  <c r="B53" i="9"/>
  <c r="A53" i="9"/>
  <c r="H52" i="9"/>
  <c r="F52" i="9"/>
  <c r="E52" i="9"/>
  <c r="D52" i="9"/>
  <c r="C52" i="9"/>
  <c r="B52" i="9"/>
  <c r="A52" i="9"/>
  <c r="H51" i="9"/>
  <c r="F51" i="9"/>
  <c r="E51" i="9"/>
  <c r="D51" i="9"/>
  <c r="C51" i="9"/>
  <c r="B51" i="9"/>
  <c r="A51" i="9"/>
  <c r="H50" i="9"/>
  <c r="F50" i="9"/>
  <c r="E50" i="9"/>
  <c r="D50" i="9"/>
  <c r="C50" i="9"/>
  <c r="B50" i="9"/>
  <c r="A50" i="9"/>
  <c r="H49" i="9"/>
  <c r="E49" i="9"/>
  <c r="D49" i="9"/>
  <c r="C49" i="9"/>
  <c r="B49" i="9"/>
  <c r="A49" i="9"/>
  <c r="H48" i="9"/>
  <c r="F48" i="9"/>
  <c r="E48" i="9"/>
  <c r="D48" i="9"/>
  <c r="C48" i="9"/>
  <c r="B48" i="9"/>
  <c r="A48" i="9"/>
  <c r="H47" i="9"/>
  <c r="E47" i="9"/>
  <c r="D47" i="9"/>
  <c r="C47" i="9"/>
  <c r="B47" i="9"/>
  <c r="A47" i="9"/>
  <c r="H46" i="9"/>
  <c r="F46" i="9"/>
  <c r="E46" i="9"/>
  <c r="D46" i="9"/>
  <c r="C46" i="9"/>
  <c r="B46" i="9"/>
  <c r="A46" i="9"/>
  <c r="H45" i="9"/>
  <c r="E45" i="9"/>
  <c r="D45" i="9"/>
  <c r="C45" i="9"/>
  <c r="B45" i="9"/>
  <c r="A45" i="9"/>
  <c r="H44" i="9"/>
  <c r="F44" i="9"/>
  <c r="E44" i="9"/>
  <c r="D44" i="9"/>
  <c r="C44" i="9"/>
  <c r="B44" i="9"/>
  <c r="A44" i="9"/>
  <c r="H43" i="9"/>
  <c r="F43" i="9"/>
  <c r="E43" i="9"/>
  <c r="D43" i="9"/>
  <c r="C43" i="9"/>
  <c r="B43" i="9"/>
  <c r="A43" i="9"/>
  <c r="H42" i="9"/>
  <c r="E42" i="9"/>
  <c r="D42" i="9"/>
  <c r="C42" i="9"/>
  <c r="B42" i="9"/>
  <c r="A42" i="9"/>
  <c r="H41" i="9"/>
  <c r="F41" i="9"/>
  <c r="E41" i="9"/>
  <c r="D41" i="9"/>
  <c r="C41" i="9"/>
  <c r="B41" i="9"/>
  <c r="A41" i="9"/>
  <c r="H40" i="9"/>
  <c r="F40" i="9"/>
  <c r="E40" i="9"/>
  <c r="D40" i="9"/>
  <c r="C40" i="9"/>
  <c r="B40" i="9"/>
  <c r="A40" i="9"/>
  <c r="H39" i="9"/>
  <c r="E39" i="9"/>
  <c r="D39" i="9"/>
  <c r="C39" i="9"/>
  <c r="B39" i="9"/>
  <c r="A39" i="9"/>
  <c r="H38" i="9"/>
  <c r="F38" i="9"/>
  <c r="E38" i="9"/>
  <c r="D38" i="9"/>
  <c r="C38" i="9"/>
  <c r="B38" i="9"/>
  <c r="A38" i="9"/>
  <c r="H37" i="9"/>
  <c r="E37" i="9"/>
  <c r="D37" i="9"/>
  <c r="C37" i="9"/>
  <c r="B37" i="9"/>
  <c r="A37" i="9"/>
  <c r="H36" i="9"/>
  <c r="F36" i="9"/>
  <c r="E36" i="9"/>
  <c r="D36" i="9"/>
  <c r="C36" i="9"/>
  <c r="B36" i="9"/>
  <c r="A36" i="9"/>
  <c r="H35" i="9"/>
  <c r="E35" i="9"/>
  <c r="D35" i="9"/>
  <c r="C35" i="9"/>
  <c r="B35" i="9"/>
  <c r="A35" i="9"/>
  <c r="H34" i="9"/>
  <c r="F34" i="9"/>
  <c r="E34" i="9"/>
  <c r="D34" i="9"/>
  <c r="C34" i="9"/>
  <c r="B34" i="9"/>
  <c r="A34" i="9"/>
  <c r="H33" i="9"/>
  <c r="E33" i="9"/>
  <c r="D33" i="9"/>
  <c r="C33" i="9"/>
  <c r="B33" i="9"/>
  <c r="A33" i="9"/>
  <c r="H32" i="9"/>
  <c r="F32" i="9"/>
  <c r="E32" i="9"/>
  <c r="D32" i="9"/>
  <c r="C32" i="9"/>
  <c r="B32" i="9"/>
  <c r="A32" i="9"/>
  <c r="H31" i="9"/>
  <c r="E31" i="9"/>
  <c r="D31" i="9"/>
  <c r="C31" i="9"/>
  <c r="B31" i="9"/>
  <c r="A31" i="9"/>
  <c r="H30" i="9"/>
  <c r="F30" i="9"/>
  <c r="E30" i="9"/>
  <c r="D30" i="9"/>
  <c r="C30" i="9"/>
  <c r="B30" i="9"/>
  <c r="A30" i="9"/>
  <c r="C29" i="9"/>
  <c r="B29" i="9"/>
  <c r="A29" i="9"/>
  <c r="H28" i="9"/>
  <c r="F28" i="9"/>
  <c r="E28" i="9"/>
  <c r="D28" i="9"/>
  <c r="C28" i="9"/>
  <c r="B28" i="9"/>
  <c r="A28" i="9"/>
  <c r="H27" i="9"/>
  <c r="F27" i="9"/>
  <c r="E27" i="9"/>
  <c r="D27" i="9"/>
  <c r="C27" i="9"/>
  <c r="B27" i="9"/>
  <c r="A27" i="9"/>
  <c r="H26" i="9"/>
  <c r="F26" i="9"/>
  <c r="E26" i="9"/>
  <c r="D26" i="9"/>
  <c r="C26" i="9"/>
  <c r="B26" i="9"/>
  <c r="A26" i="9"/>
  <c r="H25" i="9"/>
  <c r="F25" i="9"/>
  <c r="E25" i="9"/>
  <c r="D25" i="9"/>
  <c r="C25" i="9"/>
  <c r="B25" i="9"/>
  <c r="A25" i="9"/>
  <c r="H24" i="9"/>
  <c r="E24" i="9"/>
  <c r="D24" i="9"/>
  <c r="C24" i="9"/>
  <c r="B24" i="9"/>
  <c r="A24" i="9"/>
  <c r="H23" i="9"/>
  <c r="F23" i="9"/>
  <c r="E23" i="9"/>
  <c r="D23" i="9"/>
  <c r="C23" i="9"/>
  <c r="B23" i="9"/>
  <c r="A23" i="9"/>
  <c r="H22" i="9"/>
  <c r="F22" i="9"/>
  <c r="E22" i="9"/>
  <c r="D22" i="9"/>
  <c r="C22" i="9"/>
  <c r="B22" i="9"/>
  <c r="A22" i="9"/>
  <c r="H21" i="9"/>
  <c r="E21" i="9"/>
  <c r="D21" i="9"/>
  <c r="C21" i="9"/>
  <c r="B21" i="9"/>
  <c r="A21" i="9"/>
  <c r="H20" i="9"/>
  <c r="F20" i="9"/>
  <c r="E20" i="9"/>
  <c r="D20" i="9"/>
  <c r="C20" i="9"/>
  <c r="B20" i="9"/>
  <c r="A20" i="9"/>
  <c r="H19" i="9"/>
  <c r="F19" i="9"/>
  <c r="E19" i="9"/>
  <c r="D19" i="9"/>
  <c r="C19" i="9"/>
  <c r="B19" i="9"/>
  <c r="A19" i="9"/>
  <c r="H18" i="9"/>
  <c r="E18" i="9"/>
  <c r="D18" i="9"/>
  <c r="C18" i="9"/>
  <c r="B18" i="9"/>
  <c r="A18" i="9"/>
  <c r="H17" i="9"/>
  <c r="E17" i="9"/>
  <c r="D17" i="9"/>
  <c r="C17" i="9"/>
  <c r="B17" i="9"/>
  <c r="A17" i="9"/>
  <c r="H16" i="9"/>
  <c r="F16" i="9"/>
  <c r="E16" i="9"/>
  <c r="C16" i="9"/>
  <c r="B16" i="9"/>
  <c r="A16" i="9"/>
  <c r="H15" i="9"/>
  <c r="E15" i="9"/>
  <c r="C15" i="9"/>
  <c r="B15" i="9"/>
  <c r="A15" i="9"/>
  <c r="H14" i="9"/>
  <c r="F14" i="9"/>
  <c r="E14" i="9"/>
  <c r="D14" i="9"/>
  <c r="C14" i="9"/>
  <c r="B14" i="9"/>
  <c r="A14" i="9"/>
  <c r="H13" i="9"/>
  <c r="F13" i="9"/>
  <c r="E13" i="9"/>
  <c r="D13" i="9"/>
  <c r="C13" i="9"/>
  <c r="B13" i="9"/>
  <c r="A13" i="9"/>
  <c r="H12" i="9"/>
  <c r="F12" i="9"/>
  <c r="E12" i="9"/>
  <c r="D12" i="9"/>
  <c r="C12" i="9"/>
  <c r="B12" i="9"/>
  <c r="A12" i="9"/>
  <c r="H11" i="9"/>
  <c r="F11" i="9"/>
  <c r="E11" i="9"/>
  <c r="D11" i="9"/>
  <c r="C11" i="9"/>
  <c r="B11" i="9"/>
  <c r="A11" i="9"/>
  <c r="H10" i="9"/>
  <c r="F10" i="9"/>
  <c r="E10" i="9"/>
  <c r="D10" i="9"/>
  <c r="C10" i="9"/>
  <c r="B10" i="9"/>
  <c r="A10" i="9"/>
  <c r="H9" i="9"/>
  <c r="F9" i="9"/>
  <c r="E9" i="9"/>
  <c r="D9" i="9"/>
  <c r="C9" i="9"/>
  <c r="B9" i="9"/>
  <c r="A9" i="9"/>
  <c r="H8" i="9"/>
  <c r="F8" i="9"/>
  <c r="E8" i="9"/>
  <c r="D8" i="9"/>
  <c r="C8" i="9"/>
  <c r="B8" i="9"/>
  <c r="A8" i="9"/>
  <c r="H7" i="9"/>
  <c r="F7" i="9"/>
  <c r="E7" i="9"/>
  <c r="D7" i="9"/>
  <c r="C7" i="9"/>
  <c r="B7" i="9"/>
  <c r="A7" i="9"/>
  <c r="H6" i="9"/>
  <c r="G6" i="9"/>
  <c r="E6" i="9"/>
  <c r="D6" i="9"/>
  <c r="C6" i="9"/>
  <c r="B6" i="9"/>
  <c r="A6" i="9"/>
  <c r="H5" i="9"/>
  <c r="F5" i="9"/>
  <c r="E5" i="9"/>
  <c r="D5" i="9"/>
  <c r="C5" i="9"/>
  <c r="B5" i="9"/>
  <c r="A5" i="9"/>
  <c r="H4" i="9"/>
  <c r="E4" i="9"/>
  <c r="D4" i="9"/>
  <c r="C4" i="9"/>
  <c r="B4" i="9"/>
  <c r="A4" i="9"/>
  <c r="H3" i="9"/>
  <c r="F3" i="9"/>
  <c r="E3" i="9"/>
  <c r="D3" i="9"/>
  <c r="C3" i="9"/>
  <c r="B3" i="9"/>
  <c r="A3" i="9"/>
  <c r="S122" i="2"/>
  <c r="T122" i="2" s="1"/>
  <c r="A102" i="2"/>
  <c r="A101" i="2"/>
  <c r="AK101" i="2"/>
  <c r="AD101" i="2"/>
  <c r="AC101" i="2"/>
  <c r="AB101" i="2"/>
  <c r="AB101" i="2" a="1"/>
  <c r="X101" i="2"/>
  <c r="W101" i="2"/>
  <c r="V101" i="2"/>
  <c r="T101" i="2"/>
  <c r="S101" i="2"/>
  <c r="Q101" i="2"/>
  <c r="N101" i="2"/>
  <c r="O101" i="2" s="1"/>
  <c r="M101" i="2"/>
  <c r="I101" i="2"/>
  <c r="J101" i="2" s="1"/>
  <c r="K101" i="2" s="1"/>
  <c r="F101" i="2"/>
  <c r="G101" i="2" s="1"/>
  <c r="H101" i="2" s="1"/>
  <c r="AK83" i="2"/>
  <c r="AD83" i="2"/>
  <c r="AC83" i="2"/>
  <c r="AB83" i="2" a="1"/>
  <c r="AB83" i="2" s="1"/>
  <c r="X83" i="2"/>
  <c r="W83" i="2"/>
  <c r="V83" i="2"/>
  <c r="T83" i="2"/>
  <c r="S83" i="2"/>
  <c r="Q83" i="2"/>
  <c r="M83" i="2"/>
  <c r="N83" i="2" s="1"/>
  <c r="O83" i="2" s="1"/>
  <c r="I83" i="2"/>
  <c r="J83" i="2" s="1"/>
  <c r="B57" i="2"/>
  <c r="E57" i="2"/>
  <c r="AK57" i="2"/>
  <c r="AD57" i="2"/>
  <c r="AC57" i="2"/>
  <c r="AB57" i="2" a="1"/>
  <c r="AB57" i="2" s="1"/>
  <c r="X57" i="2"/>
  <c r="W57" i="2"/>
  <c r="V57" i="2"/>
  <c r="S57" i="2"/>
  <c r="T57" i="2" s="1"/>
  <c r="Q57" i="2"/>
  <c r="M57" i="2"/>
  <c r="N57" i="2" s="1"/>
  <c r="O57" i="2" s="1"/>
  <c r="I57" i="2"/>
  <c r="J57" i="2" s="1"/>
  <c r="AK16" i="2"/>
  <c r="AD16" i="2"/>
  <c r="AC16" i="2"/>
  <c r="AB16" i="2" a="1"/>
  <c r="AB16" i="2" s="1"/>
  <c r="X16" i="2"/>
  <c r="S16" i="2"/>
  <c r="T16" i="2" s="1"/>
  <c r="Q16" i="2"/>
  <c r="G14" i="9" s="1"/>
  <c r="M16" i="2"/>
  <c r="N16" i="2" s="1"/>
  <c r="O16" i="2" s="1"/>
  <c r="I16" i="2"/>
  <c r="J16" i="2" s="1"/>
  <c r="G16" i="2"/>
  <c r="H16" i="2" s="1"/>
  <c r="G54" i="2"/>
  <c r="G28" i="2"/>
  <c r="G27" i="2"/>
  <c r="G12" i="2"/>
  <c r="G9" i="2"/>
  <c r="G7" i="2"/>
  <c r="AD8" i="2"/>
  <c r="AC8" i="2"/>
  <c r="AB8" i="2" a="1"/>
  <c r="AB8" i="2" s="1"/>
  <c r="X8" i="2"/>
  <c r="S8" i="2"/>
  <c r="T8" i="2" s="1"/>
  <c r="P8" i="2"/>
  <c r="Q8" i="2" s="1"/>
  <c r="M8" i="2"/>
  <c r="N8" i="2" s="1"/>
  <c r="O8" i="2" s="1"/>
  <c r="I8" i="2"/>
  <c r="J8" i="2" s="1"/>
  <c r="I6" i="2"/>
  <c r="S123" i="2"/>
  <c r="T123" i="2" s="1"/>
  <c r="AK123" i="2"/>
  <c r="AD123" i="2"/>
  <c r="AC123" i="2"/>
  <c r="AB123" i="2" a="1"/>
  <c r="AB123" i="2" s="1"/>
  <c r="X123" i="2"/>
  <c r="W123" i="2"/>
  <c r="V123" i="2"/>
  <c r="M123" i="2"/>
  <c r="N123" i="2" s="1"/>
  <c r="O123" i="2" s="1"/>
  <c r="I123" i="2"/>
  <c r="J123" i="2" s="1"/>
  <c r="G6" i="8"/>
  <c r="K161" i="2"/>
  <c r="K160" i="2"/>
  <c r="K150" i="2"/>
  <c r="K148" i="2"/>
  <c r="K147" i="2"/>
  <c r="K146" i="2"/>
  <c r="K145" i="2"/>
  <c r="K144" i="2"/>
  <c r="K143" i="2"/>
  <c r="K142"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6" i="2"/>
  <c r="I124" i="2"/>
  <c r="I122" i="2"/>
  <c r="I121" i="2"/>
  <c r="I120" i="2"/>
  <c r="I119" i="2"/>
  <c r="I118" i="2"/>
  <c r="I117" i="2"/>
  <c r="I116" i="2"/>
  <c r="I115" i="2"/>
  <c r="I114" i="2"/>
  <c r="I113" i="2"/>
  <c r="I112" i="2"/>
  <c r="I111" i="2"/>
  <c r="I110" i="2"/>
  <c r="I109" i="2"/>
  <c r="I108" i="2"/>
  <c r="I107" i="2"/>
  <c r="I106" i="2"/>
  <c r="I105" i="2"/>
  <c r="I104" i="2"/>
  <c r="I103" i="2"/>
  <c r="I102" i="2"/>
  <c r="I100" i="2"/>
  <c r="I99" i="2"/>
  <c r="I98" i="2"/>
  <c r="I97" i="2"/>
  <c r="I96" i="2"/>
  <c r="I95" i="2"/>
  <c r="I94" i="2"/>
  <c r="I93" i="2"/>
  <c r="I92" i="2"/>
  <c r="I91" i="2"/>
  <c r="I90" i="2"/>
  <c r="I89" i="2"/>
  <c r="I88" i="2"/>
  <c r="I87" i="2"/>
  <c r="I86" i="2"/>
  <c r="I85" i="2"/>
  <c r="I84" i="2"/>
  <c r="I82" i="2"/>
  <c r="I81" i="2"/>
  <c r="I80" i="2"/>
  <c r="I79" i="2"/>
  <c r="I78" i="2"/>
  <c r="I77" i="2"/>
  <c r="I76" i="2"/>
  <c r="I75" i="2"/>
  <c r="I74" i="2"/>
  <c r="I73" i="2"/>
  <c r="I72" i="2"/>
  <c r="I71" i="2"/>
  <c r="I70" i="2"/>
  <c r="I69" i="2"/>
  <c r="I68" i="2"/>
  <c r="I67" i="2"/>
  <c r="I66" i="2"/>
  <c r="I65" i="2"/>
  <c r="I64" i="2"/>
  <c r="I63" i="2"/>
  <c r="I62" i="2"/>
  <c r="I61" i="2"/>
  <c r="I60" i="2"/>
  <c r="I59" i="2"/>
  <c r="I58" i="2"/>
  <c r="J58" i="2" s="1"/>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5" i="2"/>
  <c r="I14" i="2"/>
  <c r="I13" i="2"/>
  <c r="I12" i="2"/>
  <c r="I11" i="2"/>
  <c r="I10" i="2"/>
  <c r="I9" i="2"/>
  <c r="I7" i="2"/>
  <c r="I5" i="2"/>
  <c r="I4" i="2"/>
  <c r="M141" i="2"/>
  <c r="M140" i="2"/>
  <c r="M139" i="2"/>
  <c r="M138" i="2"/>
  <c r="M137" i="2"/>
  <c r="M136" i="2"/>
  <c r="M135" i="2"/>
  <c r="M134" i="2"/>
  <c r="M133" i="2"/>
  <c r="M132" i="2"/>
  <c r="M131" i="2"/>
  <c r="M130" i="2"/>
  <c r="M129" i="2"/>
  <c r="M128" i="2"/>
  <c r="M126" i="2"/>
  <c r="M124" i="2"/>
  <c r="M122" i="2"/>
  <c r="M121" i="2"/>
  <c r="M120" i="2"/>
  <c r="M119" i="2"/>
  <c r="M118" i="2"/>
  <c r="M117" i="2"/>
  <c r="M116" i="2"/>
  <c r="M115" i="2"/>
  <c r="M114" i="2"/>
  <c r="M113" i="2"/>
  <c r="M112" i="2"/>
  <c r="M111" i="2"/>
  <c r="M110" i="2"/>
  <c r="M109" i="2"/>
  <c r="M108" i="2"/>
  <c r="M107" i="2"/>
  <c r="M106" i="2"/>
  <c r="M105" i="2"/>
  <c r="M104" i="2"/>
  <c r="M103" i="2"/>
  <c r="M102" i="2"/>
  <c r="M100" i="2"/>
  <c r="M99" i="2"/>
  <c r="M98" i="2"/>
  <c r="M97" i="2"/>
  <c r="M96" i="2"/>
  <c r="M95" i="2"/>
  <c r="M94" i="2"/>
  <c r="M93" i="2"/>
  <c r="M92" i="2"/>
  <c r="M91" i="2"/>
  <c r="M90" i="2"/>
  <c r="M89" i="2"/>
  <c r="M88" i="2"/>
  <c r="M87" i="2"/>
  <c r="M86" i="2"/>
  <c r="M85" i="2"/>
  <c r="M84" i="2"/>
  <c r="M82" i="2"/>
  <c r="M81" i="2"/>
  <c r="M80" i="2"/>
  <c r="M79" i="2"/>
  <c r="M78" i="2"/>
  <c r="M77" i="2"/>
  <c r="M76" i="2"/>
  <c r="M75" i="2"/>
  <c r="M74" i="2"/>
  <c r="M73" i="2"/>
  <c r="M72" i="2"/>
  <c r="M71" i="2"/>
  <c r="M70" i="2"/>
  <c r="M69" i="2"/>
  <c r="M68" i="2"/>
  <c r="M67" i="2"/>
  <c r="M66" i="2"/>
  <c r="M65" i="2"/>
  <c r="M64" i="2"/>
  <c r="M63" i="2"/>
  <c r="M62" i="2"/>
  <c r="M61" i="2"/>
  <c r="M60" i="2"/>
  <c r="M59" i="2"/>
  <c r="M58"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7" i="2"/>
  <c r="M15" i="2"/>
  <c r="M14" i="2"/>
  <c r="M13" i="2"/>
  <c r="M12" i="2"/>
  <c r="M11" i="2"/>
  <c r="M10" i="2"/>
  <c r="M9" i="2"/>
  <c r="M7" i="2"/>
  <c r="M6" i="2"/>
  <c r="M5" i="2"/>
  <c r="M4" i="2"/>
  <c r="M18" i="2"/>
  <c r="P125" i="2" l="1"/>
  <c r="W8" i="2"/>
  <c r="V8" i="2"/>
  <c r="T92" i="2"/>
  <c r="AK54" i="2"/>
  <c r="AD54" i="2"/>
  <c r="AC54" i="2"/>
  <c r="AB54" i="2" a="1"/>
  <c r="AB54" i="2" s="1"/>
  <c r="X54" i="2"/>
  <c r="W54" i="2"/>
  <c r="V54" i="2"/>
  <c r="S54" i="2"/>
  <c r="T54" i="2" s="1"/>
  <c r="Q54" i="2"/>
  <c r="G52" i="9" s="1"/>
  <c r="N54" i="2"/>
  <c r="O54" i="2" s="1"/>
  <c r="J54" i="2"/>
  <c r="H54" i="2"/>
  <c r="A2" i="9"/>
  <c r="B2" i="9"/>
  <c r="G122" i="9"/>
  <c r="X125" i="2" l="1"/>
  <c r="V125" i="2" s="1"/>
  <c r="W125" i="2"/>
  <c r="Q125" i="2"/>
  <c r="K125" i="2"/>
  <c r="S121" i="2"/>
  <c r="T121" i="2" s="1"/>
  <c r="S120" i="2"/>
  <c r="T120" i="2" s="1"/>
  <c r="S119" i="2"/>
  <c r="T119" i="2" s="1"/>
  <c r="S118" i="2"/>
  <c r="T118" i="2" s="1"/>
  <c r="S117" i="2"/>
  <c r="T117" i="2" s="1"/>
  <c r="S116" i="2"/>
  <c r="T116" i="2" s="1"/>
  <c r="S115" i="2"/>
  <c r="T115" i="2" s="1"/>
  <c r="S114" i="2"/>
  <c r="T114" i="2" s="1"/>
  <c r="S112" i="2"/>
  <c r="T112" i="2" s="1"/>
  <c r="S111" i="2"/>
  <c r="T111" i="2" s="1"/>
  <c r="S110" i="2"/>
  <c r="T110" i="2" s="1"/>
  <c r="S109" i="2"/>
  <c r="T109" i="2" s="1"/>
  <c r="S108" i="2"/>
  <c r="T108" i="2" s="1"/>
  <c r="S107" i="2"/>
  <c r="T107" i="2" s="1"/>
  <c r="S106" i="2"/>
  <c r="T106" i="2" s="1"/>
  <c r="S105" i="2"/>
  <c r="T105" i="2" s="1"/>
  <c r="S104" i="2"/>
  <c r="T104" i="2" s="1"/>
  <c r="S103" i="2"/>
  <c r="T103" i="2" s="1"/>
  <c r="S102" i="2"/>
  <c r="T102" i="2" s="1"/>
  <c r="S100" i="2"/>
  <c r="T100" i="2" s="1"/>
  <c r="S99" i="2"/>
  <c r="T99" i="2" s="1"/>
  <c r="S98" i="2"/>
  <c r="T98" i="2" s="1"/>
  <c r="S97" i="2"/>
  <c r="T97" i="2" s="1"/>
  <c r="S96" i="2"/>
  <c r="T96" i="2" s="1"/>
  <c r="S95" i="2"/>
  <c r="T95" i="2" s="1"/>
  <c r="S94" i="2"/>
  <c r="T94" i="2" s="1"/>
  <c r="S93" i="2"/>
  <c r="T93" i="2" s="1"/>
  <c r="S91" i="2"/>
  <c r="T91" i="2" s="1"/>
  <c r="S90" i="2"/>
  <c r="T90" i="2" s="1"/>
  <c r="S89" i="2"/>
  <c r="T89" i="2" s="1"/>
  <c r="S88" i="2"/>
  <c r="T88" i="2" s="1"/>
  <c r="S87" i="2"/>
  <c r="T87" i="2" s="1"/>
  <c r="S86" i="2"/>
  <c r="T86" i="2" s="1"/>
  <c r="S85" i="2"/>
  <c r="T85" i="2" s="1"/>
  <c r="S84" i="2"/>
  <c r="T84"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60" i="2"/>
  <c r="T60" i="2" s="1"/>
  <c r="S59" i="2"/>
  <c r="T59" i="2" s="1"/>
  <c r="S58" i="2"/>
  <c r="T58" i="2" s="1"/>
  <c r="S56" i="2"/>
  <c r="T56" i="2" s="1"/>
  <c r="S55" i="2"/>
  <c r="T55" i="2" s="1"/>
  <c r="S53" i="2"/>
  <c r="T53" i="2" s="1"/>
  <c r="S52" i="2"/>
  <c r="T52" i="2" s="1"/>
  <c r="S51" i="2"/>
  <c r="T51" i="2" s="1"/>
  <c r="S50" i="2"/>
  <c r="T50" i="2" s="1"/>
  <c r="S49" i="2"/>
  <c r="T49" i="2" s="1"/>
  <c r="S48" i="2"/>
  <c r="T48" i="2" s="1"/>
  <c r="S47" i="2"/>
  <c r="T47" i="2" s="1"/>
  <c r="S46" i="2"/>
  <c r="T46" i="2" s="1"/>
  <c r="S45" i="2"/>
  <c r="T45" i="2" s="1"/>
  <c r="S44" i="2"/>
  <c r="T44" i="2" s="1"/>
  <c r="S43" i="2"/>
  <c r="T43" i="2" s="1"/>
  <c r="S42" i="2"/>
  <c r="T42" i="2" s="1"/>
  <c r="S41" i="2"/>
  <c r="T41" i="2" s="1"/>
  <c r="S40" i="2"/>
  <c r="T40" i="2" s="1"/>
  <c r="S39" i="2"/>
  <c r="T39" i="2" s="1"/>
  <c r="S38" i="2"/>
  <c r="T38" i="2" s="1"/>
  <c r="S37" i="2"/>
  <c r="T37" i="2" s="1"/>
  <c r="S36" i="2"/>
  <c r="T36" i="2" s="1"/>
  <c r="S35" i="2"/>
  <c r="T35" i="2" s="1"/>
  <c r="S34" i="2"/>
  <c r="T34" i="2" s="1"/>
  <c r="S33" i="2"/>
  <c r="T33" i="2" s="1"/>
  <c r="S32" i="2"/>
  <c r="T32" i="2" s="1"/>
  <c r="S31" i="2"/>
  <c r="T31" i="2" s="1"/>
  <c r="H29" i="9" s="1"/>
  <c r="S30" i="2"/>
  <c r="T30" i="2" s="1"/>
  <c r="S29" i="2"/>
  <c r="T29" i="2" s="1"/>
  <c r="S28" i="2"/>
  <c r="T28" i="2" s="1"/>
  <c r="S27" i="2"/>
  <c r="T27" i="2" s="1"/>
  <c r="S26" i="2"/>
  <c r="T26" i="2" s="1"/>
  <c r="S25" i="2"/>
  <c r="T25" i="2" s="1"/>
  <c r="S24" i="2"/>
  <c r="T24" i="2" s="1"/>
  <c r="S23" i="2"/>
  <c r="T23" i="2" s="1"/>
  <c r="S22" i="2"/>
  <c r="T22" i="2" s="1"/>
  <c r="S21" i="2"/>
  <c r="T21" i="2" s="1"/>
  <c r="S20" i="2"/>
  <c r="T20" i="2" s="1"/>
  <c r="S19" i="2"/>
  <c r="T19" i="2" s="1"/>
  <c r="S18" i="2"/>
  <c r="T18" i="2" s="1"/>
  <c r="S17" i="2"/>
  <c r="T17" i="2" s="1"/>
  <c r="S15" i="2"/>
  <c r="T15" i="2" s="1"/>
  <c r="S14" i="2"/>
  <c r="T14" i="2" s="1"/>
  <c r="S13" i="2"/>
  <c r="T13" i="2" s="1"/>
  <c r="S12" i="2"/>
  <c r="T12" i="2" s="1"/>
  <c r="S11" i="2"/>
  <c r="T11" i="2" s="1"/>
  <c r="S10" i="2"/>
  <c r="T10" i="2" s="1"/>
  <c r="S9" i="2"/>
  <c r="T9" i="2" s="1"/>
  <c r="S7" i="2"/>
  <c r="T7" i="2" s="1"/>
  <c r="S6" i="2"/>
  <c r="T6" i="2" s="1"/>
  <c r="S5" i="2"/>
  <c r="T5" i="2" s="1"/>
  <c r="S4" i="2"/>
  <c r="T4" i="2" s="1"/>
  <c r="S113" i="2"/>
  <c r="T113" i="2" s="1"/>
  <c r="S141" i="2"/>
  <c r="T141" i="2" s="1"/>
  <c r="S140" i="2"/>
  <c r="T140" i="2" s="1"/>
  <c r="S139" i="2"/>
  <c r="T139" i="2" s="1"/>
  <c r="S138" i="2"/>
  <c r="T138" i="2" s="1"/>
  <c r="S137" i="2"/>
  <c r="T137" i="2" s="1"/>
  <c r="S136" i="2"/>
  <c r="T136" i="2" s="1"/>
  <c r="S135" i="2"/>
  <c r="T135" i="2" s="1"/>
  <c r="S134" i="2"/>
  <c r="T134" i="2" s="1"/>
  <c r="S133" i="2"/>
  <c r="T133" i="2" s="1"/>
  <c r="S132" i="2"/>
  <c r="T132" i="2" s="1"/>
  <c r="S131" i="2"/>
  <c r="T131" i="2" s="1"/>
  <c r="S130" i="2"/>
  <c r="T130" i="2" s="1"/>
  <c r="S129" i="2"/>
  <c r="T129" i="2" s="1"/>
  <c r="S128" i="2"/>
  <c r="T128" i="2" s="1"/>
  <c r="S126" i="2"/>
  <c r="T126" i="2" s="1"/>
  <c r="S124" i="2"/>
  <c r="T124" i="2" s="1"/>
  <c r="Q141" i="2"/>
  <c r="Q140" i="2"/>
  <c r="Q139" i="2"/>
  <c r="Q138" i="2"/>
  <c r="Q137" i="2"/>
  <c r="Q136" i="2"/>
  <c r="Q135" i="2"/>
  <c r="Q134" i="2"/>
  <c r="Q133" i="2"/>
  <c r="Q132" i="2"/>
  <c r="Q131" i="2"/>
  <c r="Q130" i="2"/>
  <c r="Q129" i="2"/>
  <c r="Q128" i="2"/>
  <c r="Q126" i="2"/>
  <c r="Q124" i="2"/>
  <c r="Q99" i="2"/>
  <c r="G97" i="9" s="1"/>
  <c r="Q97" i="2"/>
  <c r="G95" i="9" s="1"/>
  <c r="Q90" i="2"/>
  <c r="G88" i="9" s="1"/>
  <c r="Q85" i="2"/>
  <c r="G83" i="9" s="1"/>
  <c r="Q81" i="2"/>
  <c r="G79" i="9" s="1"/>
  <c r="Q80" i="2"/>
  <c r="G78" i="9" s="1"/>
  <c r="Q70" i="2"/>
  <c r="G68" i="9" s="1"/>
  <c r="Q68" i="2"/>
  <c r="G66" i="9" s="1"/>
  <c r="Q66" i="2"/>
  <c r="G64" i="9" s="1"/>
  <c r="Q56" i="2"/>
  <c r="G54" i="9" s="1"/>
  <c r="Q53" i="2"/>
  <c r="G51" i="9" s="1"/>
  <c r="Q52" i="2"/>
  <c r="G50" i="9" s="1"/>
  <c r="Q50" i="2"/>
  <c r="G48" i="9" s="1"/>
  <c r="Q48" i="2"/>
  <c r="G46" i="9" s="1"/>
  <c r="Q47" i="2"/>
  <c r="G45" i="9" s="1"/>
  <c r="Q45" i="2"/>
  <c r="G43" i="9" s="1"/>
  <c r="Q44" i="2"/>
  <c r="G42" i="9" s="1"/>
  <c r="Q42" i="2"/>
  <c r="G40" i="9" s="1"/>
  <c r="Q40" i="2"/>
  <c r="G38" i="9" s="1"/>
  <c r="Q38" i="2"/>
  <c r="G36" i="9" s="1"/>
  <c r="Q36" i="2"/>
  <c r="G34" i="9" s="1"/>
  <c r="Q34" i="2"/>
  <c r="G32" i="9" s="1"/>
  <c r="Q32" i="2"/>
  <c r="G30" i="9" s="1"/>
  <c r="Q29" i="2"/>
  <c r="G27" i="9" s="1"/>
  <c r="Q28" i="2"/>
  <c r="G26" i="9" s="1"/>
  <c r="Q27" i="2"/>
  <c r="G25" i="9" s="1"/>
  <c r="Q26" i="2"/>
  <c r="G24" i="9" s="1"/>
  <c r="Q24" i="2"/>
  <c r="G22" i="9" s="1"/>
  <c r="Q23" i="2"/>
  <c r="G21" i="9" s="1"/>
  <c r="Q21" i="2"/>
  <c r="G19" i="9" s="1"/>
  <c r="Q18" i="2"/>
  <c r="G16" i="9" s="1"/>
  <c r="Q15" i="2"/>
  <c r="G13" i="9" s="1"/>
  <c r="Q14" i="2"/>
  <c r="G12" i="9" s="1"/>
  <c r="Q13" i="2"/>
  <c r="G11" i="9" s="1"/>
  <c r="Q12" i="2"/>
  <c r="G10" i="9" s="1"/>
  <c r="Q11" i="2"/>
  <c r="G9" i="9" s="1"/>
  <c r="Q10" i="2"/>
  <c r="G8" i="9" s="1"/>
  <c r="Q9" i="2"/>
  <c r="G7" i="9" s="1"/>
  <c r="Q7" i="2"/>
  <c r="G5" i="9" s="1"/>
  <c r="Q5" i="2"/>
  <c r="G3" i="9" s="1"/>
  <c r="Q4" i="2"/>
  <c r="G2" i="9" s="1"/>
  <c r="H2" i="9" l="1"/>
  <c r="AK72" i="2"/>
  <c r="AD72" i="2"/>
  <c r="AC72" i="2"/>
  <c r="AB72" i="2" a="1"/>
  <c r="AB72" i="2" s="1"/>
  <c r="X72" i="2"/>
  <c r="W72" i="2"/>
  <c r="V72" i="2"/>
  <c r="N72" i="2"/>
  <c r="O72" i="2" s="1"/>
  <c r="J72" i="2"/>
  <c r="AK48" i="2"/>
  <c r="AD48" i="2"/>
  <c r="AC48" i="2"/>
  <c r="AB48" i="2" a="1"/>
  <c r="AB48" i="2" s="1"/>
  <c r="X48" i="2"/>
  <c r="W48" i="2"/>
  <c r="V48" i="2"/>
  <c r="N48" i="2"/>
  <c r="O48" i="2" s="1"/>
  <c r="J48" i="2"/>
  <c r="AD47" i="2"/>
  <c r="AC47" i="2"/>
  <c r="AB47" i="2" a="1"/>
  <c r="AB47" i="2" s="1"/>
  <c r="N47" i="2"/>
  <c r="O47" i="2" s="1"/>
  <c r="J47" i="2"/>
  <c r="AK46" i="2"/>
  <c r="AD46" i="2"/>
  <c r="AC46" i="2"/>
  <c r="AB46" i="2" a="1"/>
  <c r="AB46" i="2" s="1"/>
  <c r="X46" i="2"/>
  <c r="W46" i="2"/>
  <c r="V46" i="2"/>
  <c r="N46" i="2"/>
  <c r="O46" i="2" s="1"/>
  <c r="J46" i="2"/>
  <c r="AK45" i="2"/>
  <c r="AD45" i="2"/>
  <c r="AC45" i="2"/>
  <c r="AB45" i="2" a="1"/>
  <c r="AB45" i="2" s="1"/>
  <c r="X45" i="2"/>
  <c r="W45" i="2"/>
  <c r="V45" i="2"/>
  <c r="N45" i="2"/>
  <c r="O45" i="2" s="1"/>
  <c r="J45" i="2"/>
  <c r="AD44" i="2"/>
  <c r="AC44" i="2"/>
  <c r="AB44" i="2" a="1"/>
  <c r="AB44" i="2" s="1"/>
  <c r="N44" i="2"/>
  <c r="O44" i="2" s="1"/>
  <c r="J44" i="2"/>
  <c r="AK43" i="2"/>
  <c r="AD43" i="2"/>
  <c r="AC43" i="2"/>
  <c r="AB43" i="2" a="1"/>
  <c r="AB43" i="2" s="1"/>
  <c r="X43" i="2"/>
  <c r="W43" i="2"/>
  <c r="V43" i="2"/>
  <c r="N43" i="2"/>
  <c r="O43" i="2" s="1"/>
  <c r="J43" i="2"/>
  <c r="AD71" i="2"/>
  <c r="AC71" i="2"/>
  <c r="AB71" i="2" a="1"/>
  <c r="AB71" i="2" s="1"/>
  <c r="N71" i="2"/>
  <c r="O71" i="2" s="1"/>
  <c r="J71" i="2"/>
  <c r="AK70" i="2"/>
  <c r="AD70" i="2"/>
  <c r="AC70" i="2"/>
  <c r="AB70" i="2" a="1"/>
  <c r="AB70" i="2" s="1"/>
  <c r="X70" i="2"/>
  <c r="W70" i="2"/>
  <c r="V70" i="2"/>
  <c r="N70" i="2"/>
  <c r="O70" i="2" s="1"/>
  <c r="J70" i="2"/>
  <c r="AD69" i="2"/>
  <c r="AC69" i="2"/>
  <c r="AB69" i="2" a="1"/>
  <c r="AB69" i="2" s="1"/>
  <c r="N69" i="2"/>
  <c r="O69" i="2" s="1"/>
  <c r="D67" i="9" s="1"/>
  <c r="J69" i="2"/>
  <c r="H27" i="2"/>
  <c r="F4" i="2"/>
  <c r="P110" i="2"/>
  <c r="P75" i="2"/>
  <c r="P77" i="2"/>
  <c r="P79" i="2"/>
  <c r="A5" i="2"/>
  <c r="J5" i="2"/>
  <c r="N5" i="2"/>
  <c r="O5" i="2" s="1"/>
  <c r="X5" i="2"/>
  <c r="AB5" i="2" a="1"/>
  <c r="AB5" i="2" s="1"/>
  <c r="AC5" i="2"/>
  <c r="AD5" i="2"/>
  <c r="AK5" i="2"/>
  <c r="C2" i="9"/>
  <c r="N122" i="2"/>
  <c r="O122" i="2" s="1"/>
  <c r="J122" i="2"/>
  <c r="N121" i="2"/>
  <c r="O121" i="2" s="1"/>
  <c r="J121" i="2"/>
  <c r="N120" i="2"/>
  <c r="O120" i="2" s="1"/>
  <c r="J120" i="2"/>
  <c r="N119" i="2"/>
  <c r="O119" i="2" s="1"/>
  <c r="J119" i="2"/>
  <c r="N118" i="2"/>
  <c r="O118" i="2" s="1"/>
  <c r="J118" i="2"/>
  <c r="N117" i="2"/>
  <c r="O117" i="2" s="1"/>
  <c r="J117" i="2"/>
  <c r="N116" i="2"/>
  <c r="J116" i="2"/>
  <c r="N115" i="2"/>
  <c r="J115" i="2"/>
  <c r="N114" i="2"/>
  <c r="J114" i="2"/>
  <c r="N113" i="2"/>
  <c r="J113" i="2"/>
  <c r="N112" i="2"/>
  <c r="J112" i="2"/>
  <c r="N111" i="2"/>
  <c r="J111" i="2"/>
  <c r="N110" i="2"/>
  <c r="O110" i="2" s="1"/>
  <c r="J110" i="2"/>
  <c r="N109" i="2"/>
  <c r="O109" i="2" s="1"/>
  <c r="J109" i="2"/>
  <c r="N108" i="2"/>
  <c r="O108" i="2" s="1"/>
  <c r="J108" i="2"/>
  <c r="N107" i="2"/>
  <c r="O107" i="2" s="1"/>
  <c r="J107" i="2"/>
  <c r="N106" i="2"/>
  <c r="J106" i="2"/>
  <c r="N105" i="2"/>
  <c r="O105" i="2" s="1"/>
  <c r="D103" i="9" s="1"/>
  <c r="J105" i="2"/>
  <c r="N104" i="2"/>
  <c r="O104" i="2" s="1"/>
  <c r="J104" i="2"/>
  <c r="N103" i="2"/>
  <c r="O103" i="2" s="1"/>
  <c r="J103" i="2"/>
  <c r="N102" i="2"/>
  <c r="O102" i="2" s="1"/>
  <c r="J102" i="2"/>
  <c r="N100" i="2"/>
  <c r="O100" i="2" s="1"/>
  <c r="J100" i="2"/>
  <c r="N99" i="2"/>
  <c r="O99" i="2" s="1"/>
  <c r="J99" i="2"/>
  <c r="N98" i="2"/>
  <c r="O98" i="2" s="1"/>
  <c r="J98" i="2"/>
  <c r="N97" i="2"/>
  <c r="O97" i="2" s="1"/>
  <c r="J97" i="2"/>
  <c r="N96" i="2"/>
  <c r="O96" i="2" s="1"/>
  <c r="J96" i="2"/>
  <c r="N95" i="2"/>
  <c r="J95" i="2"/>
  <c r="N94" i="2"/>
  <c r="J94" i="2"/>
  <c r="N93" i="2"/>
  <c r="O93" i="2" s="1"/>
  <c r="J93" i="2"/>
  <c r="N92" i="2"/>
  <c r="O92" i="2" s="1"/>
  <c r="J92" i="2"/>
  <c r="N91" i="2"/>
  <c r="O91" i="2" s="1"/>
  <c r="J91" i="2"/>
  <c r="N90" i="2"/>
  <c r="O90" i="2" s="1"/>
  <c r="J90" i="2"/>
  <c r="N89" i="2"/>
  <c r="O89" i="2" s="1"/>
  <c r="J89" i="2"/>
  <c r="N88" i="2"/>
  <c r="O88" i="2" s="1"/>
  <c r="J88" i="2"/>
  <c r="N87" i="2"/>
  <c r="O87" i="2" s="1"/>
  <c r="J87" i="2"/>
  <c r="N86" i="2"/>
  <c r="O86" i="2" s="1"/>
  <c r="J86" i="2"/>
  <c r="N85" i="2"/>
  <c r="O85" i="2" s="1"/>
  <c r="J85" i="2"/>
  <c r="N84" i="2"/>
  <c r="J84" i="2"/>
  <c r="N82" i="2"/>
  <c r="O82" i="2" s="1"/>
  <c r="J82" i="2"/>
  <c r="N81" i="2"/>
  <c r="O81" i="2" s="1"/>
  <c r="J81" i="2"/>
  <c r="N80" i="2"/>
  <c r="O80" i="2" s="1"/>
  <c r="J80" i="2"/>
  <c r="N68" i="2"/>
  <c r="O68" i="2" s="1"/>
  <c r="J68" i="2"/>
  <c r="N67" i="2"/>
  <c r="O67" i="2" s="1"/>
  <c r="J67" i="2"/>
  <c r="N79" i="2"/>
  <c r="J79" i="2"/>
  <c r="N78" i="2"/>
  <c r="O78" i="2" s="1"/>
  <c r="J78" i="2"/>
  <c r="N77" i="2"/>
  <c r="J77" i="2"/>
  <c r="N76" i="2"/>
  <c r="O76" i="2" s="1"/>
  <c r="J76" i="2"/>
  <c r="N75" i="2"/>
  <c r="J75" i="2"/>
  <c r="N74" i="2"/>
  <c r="O74" i="2" s="1"/>
  <c r="J74" i="2"/>
  <c r="N73" i="2"/>
  <c r="O73" i="2" s="1"/>
  <c r="J73" i="2"/>
  <c r="N66" i="2"/>
  <c r="O66" i="2" s="1"/>
  <c r="J66" i="2"/>
  <c r="N65" i="2"/>
  <c r="O65" i="2" s="1"/>
  <c r="J65" i="2"/>
  <c r="N64" i="2"/>
  <c r="O64" i="2" s="1"/>
  <c r="J64" i="2"/>
  <c r="N63" i="2"/>
  <c r="O63" i="2" s="1"/>
  <c r="J63" i="2"/>
  <c r="N62" i="2"/>
  <c r="O62" i="2" s="1"/>
  <c r="J62" i="2"/>
  <c r="N61" i="2"/>
  <c r="O61" i="2" s="1"/>
  <c r="J61" i="2"/>
  <c r="N60" i="2"/>
  <c r="O60" i="2" s="1"/>
  <c r="J60" i="2"/>
  <c r="N59" i="2"/>
  <c r="O59" i="2" s="1"/>
  <c r="J59" i="2"/>
  <c r="N58" i="2"/>
  <c r="O58" i="2" s="1"/>
  <c r="N56" i="2"/>
  <c r="O56" i="2" s="1"/>
  <c r="J56" i="2"/>
  <c r="N55" i="2"/>
  <c r="O55" i="2" s="1"/>
  <c r="J55" i="2"/>
  <c r="N53" i="2"/>
  <c r="O53" i="2" s="1"/>
  <c r="J53" i="2"/>
  <c r="N52" i="2"/>
  <c r="O52" i="2" s="1"/>
  <c r="J52" i="2"/>
  <c r="N51" i="2"/>
  <c r="O51" i="2" s="1"/>
  <c r="J51" i="2"/>
  <c r="N50" i="2"/>
  <c r="O50" i="2" s="1"/>
  <c r="J50" i="2"/>
  <c r="N49" i="2"/>
  <c r="O49" i="2" s="1"/>
  <c r="J49" i="2"/>
  <c r="N42" i="2"/>
  <c r="O42" i="2" s="1"/>
  <c r="J42" i="2"/>
  <c r="N41" i="2"/>
  <c r="O41" i="2" s="1"/>
  <c r="J41" i="2"/>
  <c r="N40" i="2"/>
  <c r="O40" i="2" s="1"/>
  <c r="J40" i="2"/>
  <c r="N39" i="2"/>
  <c r="O39" i="2" s="1"/>
  <c r="J39" i="2"/>
  <c r="N38" i="2"/>
  <c r="O38" i="2" s="1"/>
  <c r="J38" i="2"/>
  <c r="N37" i="2"/>
  <c r="O37" i="2" s="1"/>
  <c r="J37" i="2"/>
  <c r="N36" i="2"/>
  <c r="O36" i="2" s="1"/>
  <c r="J36" i="2"/>
  <c r="N35" i="2"/>
  <c r="O35" i="2" s="1"/>
  <c r="J35" i="2"/>
  <c r="N34" i="2"/>
  <c r="O34" i="2" s="1"/>
  <c r="J34" i="2"/>
  <c r="N33" i="2"/>
  <c r="O33" i="2" s="1"/>
  <c r="J33" i="2"/>
  <c r="N32" i="2"/>
  <c r="O32" i="2" s="1"/>
  <c r="J32" i="2"/>
  <c r="N31" i="2"/>
  <c r="O31" i="2" s="1"/>
  <c r="D29" i="9" s="1"/>
  <c r="J31" i="2"/>
  <c r="N30" i="2"/>
  <c r="O30" i="2" s="1"/>
  <c r="J30" i="2"/>
  <c r="N29" i="2"/>
  <c r="J29" i="2"/>
  <c r="N28" i="2"/>
  <c r="O28" i="2" s="1"/>
  <c r="J28" i="2"/>
  <c r="H28" i="2"/>
  <c r="N27" i="2"/>
  <c r="O27" i="2" s="1"/>
  <c r="J27" i="2"/>
  <c r="N26" i="2"/>
  <c r="O26" i="2" s="1"/>
  <c r="J26" i="2"/>
  <c r="N25" i="2"/>
  <c r="O25" i="2" s="1"/>
  <c r="J25" i="2"/>
  <c r="N24" i="2"/>
  <c r="O24" i="2" s="1"/>
  <c r="J24" i="2"/>
  <c r="N23" i="2"/>
  <c r="O23" i="2" s="1"/>
  <c r="J23" i="2"/>
  <c r="N22" i="2"/>
  <c r="O22" i="2" s="1"/>
  <c r="J22" i="2"/>
  <c r="N21" i="2"/>
  <c r="O21" i="2" s="1"/>
  <c r="J21" i="2"/>
  <c r="N20" i="2"/>
  <c r="O20" i="2" s="1"/>
  <c r="J20" i="2"/>
  <c r="N19" i="2"/>
  <c r="O19" i="2" s="1"/>
  <c r="J19" i="2"/>
  <c r="N18" i="2"/>
  <c r="O18" i="2" s="1"/>
  <c r="D16" i="9" s="1"/>
  <c r="J18" i="2"/>
  <c r="N17" i="2"/>
  <c r="O17" i="2" s="1"/>
  <c r="D15" i="9" s="1"/>
  <c r="J17" i="2"/>
  <c r="N15" i="2"/>
  <c r="O15" i="2" s="1"/>
  <c r="J15" i="2"/>
  <c r="N14" i="2"/>
  <c r="O14" i="2" s="1"/>
  <c r="J14" i="2"/>
  <c r="N13" i="2"/>
  <c r="O13" i="2" s="1"/>
  <c r="J13" i="2"/>
  <c r="N12" i="2"/>
  <c r="O12" i="2" s="1"/>
  <c r="J12" i="2"/>
  <c r="N11" i="2"/>
  <c r="O11" i="2" s="1"/>
  <c r="J11" i="2"/>
  <c r="N10" i="2"/>
  <c r="O10" i="2" s="1"/>
  <c r="J10" i="2"/>
  <c r="N9" i="2"/>
  <c r="O9" i="2" s="1"/>
  <c r="J9" i="2"/>
  <c r="N7" i="2"/>
  <c r="O7" i="2" s="1"/>
  <c r="J7" i="2"/>
  <c r="N6" i="2"/>
  <c r="O6" i="2" s="1"/>
  <c r="J6" i="2"/>
  <c r="N4" i="2"/>
  <c r="O4" i="2" s="1"/>
  <c r="D2" i="9" s="1"/>
  <c r="J4" i="2"/>
  <c r="K5" i="2" l="1"/>
  <c r="A6" i="2"/>
  <c r="G4" i="2"/>
  <c r="H4" i="2" s="1"/>
  <c r="E2" i="9" s="1"/>
  <c r="Q79" i="2"/>
  <c r="G77" i="9" s="1"/>
  <c r="Q77" i="2"/>
  <c r="G75" i="9" s="1"/>
  <c r="Q75" i="2"/>
  <c r="G73" i="9" s="1"/>
  <c r="Q110" i="2"/>
  <c r="G108" i="9" s="1"/>
  <c r="F5" i="2"/>
  <c r="G5" i="2" s="1"/>
  <c r="N141" i="2"/>
  <c r="O141" i="2" s="1"/>
  <c r="N140" i="2"/>
  <c r="O140" i="2" s="1"/>
  <c r="N139" i="2"/>
  <c r="O139" i="2" s="1"/>
  <c r="N138" i="2"/>
  <c r="O138" i="2" s="1"/>
  <c r="N137" i="2"/>
  <c r="O137" i="2" s="1"/>
  <c r="N136" i="2"/>
  <c r="O136" i="2" s="1"/>
  <c r="N135" i="2"/>
  <c r="O135" i="2" s="1"/>
  <c r="N134" i="2"/>
  <c r="O134" i="2" s="1"/>
  <c r="N133" i="2"/>
  <c r="O133" i="2" s="1"/>
  <c r="N132" i="2"/>
  <c r="O132" i="2" s="1"/>
  <c r="N131" i="2"/>
  <c r="O131" i="2" s="1"/>
  <c r="N130" i="2"/>
  <c r="O130" i="2" s="1"/>
  <c r="N129" i="2"/>
  <c r="O129" i="2" s="1"/>
  <c r="N124" i="2"/>
  <c r="O124" i="2" s="1"/>
  <c r="P6" i="2"/>
  <c r="AK141" i="2"/>
  <c r="AD141" i="2"/>
  <c r="X141" i="2"/>
  <c r="W141" i="2"/>
  <c r="V141" i="2"/>
  <c r="AJ140" i="2"/>
  <c r="AC140" i="2"/>
  <c r="Y140" i="2"/>
  <c r="W140" i="2"/>
  <c r="V140" i="2"/>
  <c r="U140" i="2"/>
  <c r="AJ139" i="2"/>
  <c r="AC139" i="2"/>
  <c r="Y139" i="2"/>
  <c r="W139" i="2"/>
  <c r="V139" i="2"/>
  <c r="U139" i="2"/>
  <c r="AJ138" i="2"/>
  <c r="AC138" i="2"/>
  <c r="Y138" i="2"/>
  <c r="W138" i="2"/>
  <c r="V138" i="2"/>
  <c r="U138" i="2"/>
  <c r="AJ137" i="2"/>
  <c r="AC137" i="2"/>
  <c r="Y137" i="2"/>
  <c r="W137" i="2"/>
  <c r="V137" i="2"/>
  <c r="U137" i="2"/>
  <c r="AJ136" i="2"/>
  <c r="AC136" i="2"/>
  <c r="Y136" i="2"/>
  <c r="W136" i="2"/>
  <c r="V136" i="2"/>
  <c r="U136" i="2"/>
  <c r="AJ135" i="2"/>
  <c r="AC135" i="2"/>
  <c r="Y135" i="2"/>
  <c r="W135" i="2"/>
  <c r="V135" i="2"/>
  <c r="U135" i="2"/>
  <c r="AJ134" i="2"/>
  <c r="AC134" i="2"/>
  <c r="Y134" i="2"/>
  <c r="W134" i="2"/>
  <c r="V134" i="2"/>
  <c r="U134" i="2"/>
  <c r="AJ133" i="2"/>
  <c r="AC133" i="2"/>
  <c r="Y133" i="2"/>
  <c r="W133" i="2"/>
  <c r="V133" i="2"/>
  <c r="U133" i="2"/>
  <c r="AJ132" i="2"/>
  <c r="AC132" i="2"/>
  <c r="Y132" i="2"/>
  <c r="W132" i="2"/>
  <c r="V132" i="2"/>
  <c r="U132" i="2"/>
  <c r="AJ131" i="2"/>
  <c r="AC131" i="2"/>
  <c r="Y131" i="2"/>
  <c r="W131" i="2"/>
  <c r="V131" i="2"/>
  <c r="U131" i="2"/>
  <c r="AJ130" i="2"/>
  <c r="AC130" i="2"/>
  <c r="Y130" i="2"/>
  <c r="W130" i="2"/>
  <c r="V130" i="2"/>
  <c r="U130" i="2"/>
  <c r="AJ129" i="2"/>
  <c r="AC129" i="2"/>
  <c r="Y129" i="2"/>
  <c r="W129" i="2"/>
  <c r="V129" i="2"/>
  <c r="U129" i="2"/>
  <c r="AJ128" i="2"/>
  <c r="AC128" i="2"/>
  <c r="Y128" i="2"/>
  <c r="W128" i="2"/>
  <c r="V128" i="2"/>
  <c r="U128" i="2"/>
  <c r="AJ126" i="2"/>
  <c r="AC126" i="2"/>
  <c r="Y126" i="2"/>
  <c r="W126" i="2"/>
  <c r="V126" i="2"/>
  <c r="U126" i="2"/>
  <c r="AJ124" i="2"/>
  <c r="AC124" i="2"/>
  <c r="Y124" i="2"/>
  <c r="W124" i="2"/>
  <c r="V124" i="2"/>
  <c r="U124" i="2"/>
  <c r="AK178" i="2"/>
  <c r="AD178" i="2"/>
  <c r="Z178" i="2"/>
  <c r="X178" i="2"/>
  <c r="W178" i="2"/>
  <c r="V178" i="2"/>
  <c r="AK177" i="2"/>
  <c r="AD177" i="2"/>
  <c r="Z177" i="2"/>
  <c r="X177" i="2"/>
  <c r="W177" i="2"/>
  <c r="V177" i="2"/>
  <c r="A177" i="2"/>
  <c r="AD176" i="2"/>
  <c r="AC176" i="2"/>
  <c r="AB176" i="2" a="1"/>
  <c r="AB176" i="2" s="1"/>
  <c r="Z176" i="2"/>
  <c r="AD175" i="2"/>
  <c r="AC175" i="2"/>
  <c r="AB175" i="2" a="1"/>
  <c r="AB175" i="2" s="1"/>
  <c r="Z175" i="2"/>
  <c r="AD174" i="2"/>
  <c r="AC174" i="2"/>
  <c r="AB174" i="2" a="1"/>
  <c r="AB174" i="2" s="1"/>
  <c r="Z174" i="2"/>
  <c r="AD173" i="2"/>
  <c r="AC173" i="2"/>
  <c r="AB173" i="2" a="1"/>
  <c r="AB173" i="2" s="1"/>
  <c r="Z173" i="2"/>
  <c r="AD172" i="2"/>
  <c r="AC172" i="2"/>
  <c r="AB172" i="2" a="1"/>
  <c r="AB172" i="2" s="1"/>
  <c r="Z172" i="2"/>
  <c r="AD171" i="2"/>
  <c r="AC171" i="2"/>
  <c r="AB171" i="2" a="1"/>
  <c r="AB171" i="2" s="1"/>
  <c r="Z171" i="2"/>
  <c r="AD170" i="2"/>
  <c r="AC170" i="2"/>
  <c r="AB170" i="2" a="1"/>
  <c r="AB170" i="2" s="1"/>
  <c r="Z170" i="2"/>
  <c r="AD169" i="2"/>
  <c r="AC169" i="2"/>
  <c r="AB169" i="2" a="1"/>
  <c r="AB169" i="2" s="1"/>
  <c r="Z169" i="2"/>
  <c r="AD168" i="2"/>
  <c r="AC168" i="2"/>
  <c r="AB168" i="2" a="1"/>
  <c r="AB168" i="2" s="1"/>
  <c r="Z168" i="2"/>
  <c r="AD167" i="2"/>
  <c r="AC167" i="2"/>
  <c r="AB167" i="2" a="1"/>
  <c r="AB167" i="2" s="1"/>
  <c r="Z167" i="2"/>
  <c r="AD166" i="2"/>
  <c r="AC166" i="2"/>
  <c r="AB166" i="2" a="1"/>
  <c r="AB166" i="2" s="1"/>
  <c r="Z166" i="2"/>
  <c r="AD165" i="2"/>
  <c r="AC165" i="2"/>
  <c r="AB165" i="2" a="1"/>
  <c r="AB165" i="2" s="1"/>
  <c r="Z165" i="2"/>
  <c r="AD164" i="2"/>
  <c r="AC164" i="2"/>
  <c r="AB164" i="2" a="1"/>
  <c r="AB164" i="2" s="1"/>
  <c r="Z164" i="2"/>
  <c r="AD163" i="2"/>
  <c r="AC163" i="2"/>
  <c r="AB163" i="2" a="1"/>
  <c r="AB163" i="2" s="1"/>
  <c r="Z163" i="2"/>
  <c r="AD162" i="2"/>
  <c r="AC162" i="2"/>
  <c r="AB162" i="2" a="1"/>
  <c r="AB162" i="2" s="1"/>
  <c r="Z162" i="2"/>
  <c r="A162" i="2"/>
  <c r="AK122" i="2"/>
  <c r="AK121" i="2"/>
  <c r="AK118" i="2"/>
  <c r="AK116" i="2"/>
  <c r="AK115" i="2"/>
  <c r="AK114" i="2"/>
  <c r="AK113" i="2"/>
  <c r="AK112" i="2"/>
  <c r="AK111" i="2"/>
  <c r="AK110" i="2"/>
  <c r="AK108" i="2"/>
  <c r="AK106" i="2"/>
  <c r="AK104" i="2"/>
  <c r="AK103" i="2"/>
  <c r="AK102" i="2"/>
  <c r="AK100" i="2"/>
  <c r="AK98" i="2"/>
  <c r="AK96" i="2"/>
  <c r="AK95" i="2"/>
  <c r="AK93" i="2"/>
  <c r="AK92" i="2"/>
  <c r="AK89" i="2"/>
  <c r="AK87" i="2"/>
  <c r="AK85" i="2"/>
  <c r="AK84" i="2"/>
  <c r="AK81" i="2"/>
  <c r="AK68" i="2"/>
  <c r="AK73" i="2"/>
  <c r="AK66" i="2"/>
  <c r="AK58" i="2"/>
  <c r="AK56" i="2"/>
  <c r="AK53" i="2"/>
  <c r="AK52" i="2"/>
  <c r="AK50" i="2"/>
  <c r="AK42" i="2"/>
  <c r="AK40" i="2"/>
  <c r="AK38" i="2"/>
  <c r="AK36" i="2"/>
  <c r="AK34" i="2"/>
  <c r="AK32" i="2"/>
  <c r="AK30" i="2"/>
  <c r="AK29" i="2"/>
  <c r="AK28" i="2"/>
  <c r="AK27" i="2"/>
  <c r="AK25" i="2"/>
  <c r="AK24" i="2"/>
  <c r="AK22" i="2"/>
  <c r="AK21" i="2"/>
  <c r="AK18" i="2"/>
  <c r="AK15" i="2"/>
  <c r="AK14" i="2"/>
  <c r="AK13" i="2"/>
  <c r="AK12" i="2"/>
  <c r="AK11" i="2"/>
  <c r="AK10" i="2"/>
  <c r="AL7" i="2"/>
  <c r="AK4" i="2"/>
  <c r="K4" i="2" s="1"/>
  <c r="F2" i="9" s="1"/>
  <c r="AI73" i="2"/>
  <c r="A6" i="3"/>
  <c r="C28" i="5"/>
  <c r="C27" i="5"/>
  <c r="C26" i="5"/>
  <c r="C25" i="5"/>
  <c r="C24" i="5"/>
  <c r="C23" i="5"/>
  <c r="AC122" i="2"/>
  <c r="AC121" i="2"/>
  <c r="AC120" i="2"/>
  <c r="AC119" i="2"/>
  <c r="AC118" i="2"/>
  <c r="AC117" i="2"/>
  <c r="AC116" i="2"/>
  <c r="AC115" i="2"/>
  <c r="AC114" i="2"/>
  <c r="AC113" i="2"/>
  <c r="AC112" i="2"/>
  <c r="AC111" i="2"/>
  <c r="AC110" i="2"/>
  <c r="AC109" i="2"/>
  <c r="AC108" i="2"/>
  <c r="AC107" i="2"/>
  <c r="AC106" i="2"/>
  <c r="AC105" i="2"/>
  <c r="AC104" i="2"/>
  <c r="AC103" i="2"/>
  <c r="AC102" i="2"/>
  <c r="AC100" i="2"/>
  <c r="AC99" i="2"/>
  <c r="AC98" i="2"/>
  <c r="AC97" i="2"/>
  <c r="AC96" i="2"/>
  <c r="AC95" i="2"/>
  <c r="AC94" i="2"/>
  <c r="AC93" i="2"/>
  <c r="AC92" i="2"/>
  <c r="AC91" i="2"/>
  <c r="AC90" i="2"/>
  <c r="AC89" i="2"/>
  <c r="AC88" i="2"/>
  <c r="AC87" i="2"/>
  <c r="AC86" i="2"/>
  <c r="AC85" i="2"/>
  <c r="AC84" i="2"/>
  <c r="AC82" i="2"/>
  <c r="AC81" i="2"/>
  <c r="AC80" i="2"/>
  <c r="AC68" i="2"/>
  <c r="AC67" i="2"/>
  <c r="AC79" i="2"/>
  <c r="AC78" i="2"/>
  <c r="AC77" i="2"/>
  <c r="AC76" i="2"/>
  <c r="AC75" i="2"/>
  <c r="AC74" i="2"/>
  <c r="AC73" i="2"/>
  <c r="AC66" i="2"/>
  <c r="AC65" i="2"/>
  <c r="AC64" i="2"/>
  <c r="AC63" i="2"/>
  <c r="AC62" i="2"/>
  <c r="AC61" i="2"/>
  <c r="AC60" i="2"/>
  <c r="AC59" i="2"/>
  <c r="AC58" i="2"/>
  <c r="AC56" i="2"/>
  <c r="AC55" i="2"/>
  <c r="AC53" i="2"/>
  <c r="AC52" i="2"/>
  <c r="AC51" i="2"/>
  <c r="AC50" i="2"/>
  <c r="AC49" i="2"/>
  <c r="AC42" i="2"/>
  <c r="AC41" i="2"/>
  <c r="AC40" i="2"/>
  <c r="AC39" i="2"/>
  <c r="AC38" i="2"/>
  <c r="AC37" i="2"/>
  <c r="AC36" i="2"/>
  <c r="AC35" i="2"/>
  <c r="AC34" i="2"/>
  <c r="AC33" i="2"/>
  <c r="AC32" i="2"/>
  <c r="AC31" i="2"/>
  <c r="AC30" i="2"/>
  <c r="AC29" i="2"/>
  <c r="AC28" i="2"/>
  <c r="AC27" i="2"/>
  <c r="AC26" i="2"/>
  <c r="AC25" i="2"/>
  <c r="AC24" i="2"/>
  <c r="AC23" i="2"/>
  <c r="AC22" i="2"/>
  <c r="AC21" i="2"/>
  <c r="AC20" i="2"/>
  <c r="AC19" i="2"/>
  <c r="AC18" i="2"/>
  <c r="AC17" i="2"/>
  <c r="AC15" i="2"/>
  <c r="AC14" i="2"/>
  <c r="AC13" i="2"/>
  <c r="AC12" i="2"/>
  <c r="AC11" i="2"/>
  <c r="AC10" i="2"/>
  <c r="AC9" i="2"/>
  <c r="AC7" i="2"/>
  <c r="AC6" i="2"/>
  <c r="AC4" i="2"/>
  <c r="AD122" i="2"/>
  <c r="AD121" i="2"/>
  <c r="AD120" i="2"/>
  <c r="AD119" i="2"/>
  <c r="AD118" i="2"/>
  <c r="AD117" i="2"/>
  <c r="AD116" i="2"/>
  <c r="AD115" i="2"/>
  <c r="AD114" i="2"/>
  <c r="AD113" i="2"/>
  <c r="AD112" i="2"/>
  <c r="AD111" i="2"/>
  <c r="AD110" i="2"/>
  <c r="AD109" i="2"/>
  <c r="AD108" i="2"/>
  <c r="AD107" i="2"/>
  <c r="AD106" i="2"/>
  <c r="AD105" i="2"/>
  <c r="AD104" i="2"/>
  <c r="AD103" i="2"/>
  <c r="AD102" i="2"/>
  <c r="AD100" i="2"/>
  <c r="AD99" i="2"/>
  <c r="AD98" i="2"/>
  <c r="AD97" i="2"/>
  <c r="AD96" i="2"/>
  <c r="AD95" i="2"/>
  <c r="AD94" i="2"/>
  <c r="AD93" i="2"/>
  <c r="AD92" i="2"/>
  <c r="AD91" i="2"/>
  <c r="AD90" i="2"/>
  <c r="AD89" i="2"/>
  <c r="AD88" i="2"/>
  <c r="AD87" i="2"/>
  <c r="AD86" i="2"/>
  <c r="AD85" i="2"/>
  <c r="AD84" i="2"/>
  <c r="AD82" i="2"/>
  <c r="AD81" i="2"/>
  <c r="AD80" i="2"/>
  <c r="AD68" i="2"/>
  <c r="AD67" i="2"/>
  <c r="AD79" i="2"/>
  <c r="AD78" i="2"/>
  <c r="AD77" i="2"/>
  <c r="AD76" i="2"/>
  <c r="AD75" i="2"/>
  <c r="AD74" i="2"/>
  <c r="AD73" i="2"/>
  <c r="AD66" i="2"/>
  <c r="AD65" i="2"/>
  <c r="AD64" i="2"/>
  <c r="AD63" i="2"/>
  <c r="AD62" i="2"/>
  <c r="AD61" i="2"/>
  <c r="AD60" i="2"/>
  <c r="AD59" i="2"/>
  <c r="AD58" i="2"/>
  <c r="AD56" i="2"/>
  <c r="AD55" i="2"/>
  <c r="AD53" i="2"/>
  <c r="AD52" i="2"/>
  <c r="AD51" i="2"/>
  <c r="AD50" i="2"/>
  <c r="AD49"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5" i="2"/>
  <c r="AD14" i="2"/>
  <c r="AD13" i="2"/>
  <c r="AD12" i="2"/>
  <c r="AD11" i="2"/>
  <c r="AD10" i="2"/>
  <c r="AD9" i="2"/>
  <c r="AD7" i="2"/>
  <c r="AD6" i="2"/>
  <c r="AD4" i="2"/>
  <c r="AB122" i="2" a="1"/>
  <c r="AB122" i="2" s="1"/>
  <c r="AB121" i="2" a="1"/>
  <c r="AB121" i="2" s="1"/>
  <c r="AB120" i="2" a="1"/>
  <c r="AB120" i="2" s="1"/>
  <c r="AB119" i="2" a="1"/>
  <c r="AB119" i="2" s="1"/>
  <c r="AB118" i="2" a="1"/>
  <c r="AB118" i="2" s="1"/>
  <c r="AB117" i="2" a="1"/>
  <c r="AB117" i="2" s="1"/>
  <c r="AB116" i="2" a="1"/>
  <c r="AB116" i="2" s="1"/>
  <c r="AB115" i="2" a="1"/>
  <c r="AB115" i="2" s="1"/>
  <c r="AB114" i="2" a="1"/>
  <c r="AB114" i="2" s="1"/>
  <c r="AB113" i="2" a="1"/>
  <c r="AB113" i="2" s="1"/>
  <c r="AB112" i="2" a="1"/>
  <c r="AB112" i="2" s="1"/>
  <c r="AB111" i="2" a="1"/>
  <c r="AB111" i="2" s="1"/>
  <c r="AB110" i="2" a="1"/>
  <c r="AB110" i="2" s="1"/>
  <c r="AB109" i="2" a="1"/>
  <c r="AB109" i="2" s="1"/>
  <c r="AB108" i="2" a="1"/>
  <c r="AB108" i="2" s="1"/>
  <c r="AB107" i="2" a="1"/>
  <c r="AB107" i="2" s="1"/>
  <c r="AB106" i="2" a="1"/>
  <c r="AB106" i="2" s="1"/>
  <c r="AB105" i="2" a="1"/>
  <c r="AB105" i="2" s="1"/>
  <c r="AB104" i="2" a="1"/>
  <c r="AB104" i="2" s="1"/>
  <c r="AB103" i="2" a="1"/>
  <c r="AB103" i="2" s="1"/>
  <c r="AB102" i="2" a="1"/>
  <c r="AB102" i="2" s="1"/>
  <c r="AB100" i="2" a="1"/>
  <c r="AB100" i="2" s="1"/>
  <c r="AB99" i="2" a="1"/>
  <c r="AB99" i="2" s="1"/>
  <c r="AB98" i="2" a="1"/>
  <c r="AB98" i="2" s="1"/>
  <c r="AB97" i="2" a="1"/>
  <c r="AB97" i="2" s="1"/>
  <c r="AB96" i="2" a="1"/>
  <c r="AB96" i="2" s="1"/>
  <c r="AB95" i="2" a="1"/>
  <c r="AB95" i="2" s="1"/>
  <c r="AB94" i="2" a="1"/>
  <c r="AB94" i="2" s="1"/>
  <c r="AB93" i="2" a="1"/>
  <c r="AB93" i="2" s="1"/>
  <c r="AB92" i="2" a="1"/>
  <c r="AB92" i="2" s="1"/>
  <c r="AB91" i="2" a="1"/>
  <c r="AB91" i="2" s="1"/>
  <c r="AB90" i="2" a="1"/>
  <c r="AB90" i="2" s="1"/>
  <c r="AB89" i="2" a="1"/>
  <c r="AB89" i="2" s="1"/>
  <c r="AB88" i="2" a="1"/>
  <c r="AB88" i="2" s="1"/>
  <c r="AB87" i="2" a="1"/>
  <c r="AB87" i="2" s="1"/>
  <c r="AB86" i="2" a="1"/>
  <c r="AB86" i="2" s="1"/>
  <c r="AB85" i="2" a="1"/>
  <c r="AB85" i="2" s="1"/>
  <c r="AB84" i="2" a="1"/>
  <c r="AB84" i="2" s="1"/>
  <c r="AB82" i="2" a="1"/>
  <c r="AB82" i="2" s="1"/>
  <c r="AB81" i="2" a="1"/>
  <c r="AB81" i="2" s="1"/>
  <c r="AB80" i="2" a="1"/>
  <c r="AB80" i="2" s="1"/>
  <c r="AB68" i="2" a="1"/>
  <c r="AB68" i="2" s="1"/>
  <c r="AB67" i="2" a="1"/>
  <c r="AB67" i="2" s="1"/>
  <c r="AB79" i="2" a="1"/>
  <c r="AB79" i="2" s="1"/>
  <c r="AB78" i="2" a="1"/>
  <c r="AB78" i="2" s="1"/>
  <c r="AB77" i="2" a="1"/>
  <c r="AB77" i="2" s="1"/>
  <c r="AB76" i="2" a="1"/>
  <c r="AB76" i="2" s="1"/>
  <c r="AB75" i="2" a="1"/>
  <c r="AB75" i="2" s="1"/>
  <c r="AB74" i="2" a="1"/>
  <c r="AB74" i="2" s="1"/>
  <c r="AB73" i="2" a="1"/>
  <c r="AB73" i="2" s="1"/>
  <c r="AB66" i="2" a="1"/>
  <c r="AB66" i="2" s="1"/>
  <c r="AB65" i="2" a="1"/>
  <c r="AB65" i="2" s="1"/>
  <c r="AB64" i="2" a="1"/>
  <c r="AB64" i="2" s="1"/>
  <c r="AB63" i="2" a="1"/>
  <c r="AB63" i="2" s="1"/>
  <c r="AB62" i="2" a="1"/>
  <c r="AB62" i="2" s="1"/>
  <c r="AB61" i="2" a="1"/>
  <c r="AB61" i="2" s="1"/>
  <c r="AB60" i="2" a="1"/>
  <c r="AB60" i="2" s="1"/>
  <c r="AB59" i="2" a="1"/>
  <c r="AB59" i="2" s="1"/>
  <c r="AB58" i="2" a="1"/>
  <c r="AB58" i="2" s="1"/>
  <c r="AB56" i="2" a="1"/>
  <c r="AB56" i="2" s="1"/>
  <c r="AB55" i="2" a="1"/>
  <c r="AB55" i="2" s="1"/>
  <c r="AB53" i="2" a="1"/>
  <c r="AB53" i="2" s="1"/>
  <c r="AB52" i="2" a="1"/>
  <c r="AB52" i="2" s="1"/>
  <c r="AB51" i="2" a="1"/>
  <c r="AB51" i="2" s="1"/>
  <c r="AB50" i="2" a="1"/>
  <c r="AB50" i="2" s="1"/>
  <c r="AB49" i="2" a="1"/>
  <c r="AB49" i="2" s="1"/>
  <c r="AB42" i="2" a="1"/>
  <c r="AB42" i="2" s="1"/>
  <c r="AB41" i="2" a="1"/>
  <c r="AB41" i="2" s="1"/>
  <c r="AB40" i="2" a="1"/>
  <c r="AB40" i="2" s="1"/>
  <c r="AB39" i="2" a="1"/>
  <c r="AB39" i="2" s="1"/>
  <c r="AB38" i="2" a="1"/>
  <c r="AB38" i="2" s="1"/>
  <c r="AB37" i="2" a="1"/>
  <c r="AB37" i="2" s="1"/>
  <c r="AB36" i="2" a="1"/>
  <c r="AB36" i="2" s="1"/>
  <c r="AB35" i="2" a="1"/>
  <c r="AB35" i="2" s="1"/>
  <c r="AB34" i="2" a="1"/>
  <c r="AB34" i="2" s="1"/>
  <c r="AB33" i="2" a="1"/>
  <c r="AB33" i="2" s="1"/>
  <c r="AB32" i="2" a="1"/>
  <c r="AB32" i="2" s="1"/>
  <c r="AB31" i="2" a="1"/>
  <c r="AB31" i="2" s="1"/>
  <c r="AB30" i="2" a="1"/>
  <c r="AB30" i="2" s="1"/>
  <c r="AB29" i="2" a="1"/>
  <c r="AB29" i="2" s="1"/>
  <c r="AB28" i="2" a="1"/>
  <c r="AB28" i="2" s="1"/>
  <c r="AB27" i="2" a="1"/>
  <c r="AB27" i="2" s="1"/>
  <c r="AB26" i="2" a="1"/>
  <c r="AB26" i="2" s="1"/>
  <c r="AB25" i="2" a="1"/>
  <c r="AB25" i="2" s="1"/>
  <c r="AB24" i="2" a="1"/>
  <c r="AB24" i="2" s="1"/>
  <c r="AB23" i="2" a="1"/>
  <c r="AB23" i="2" s="1"/>
  <c r="AB22" i="2" a="1"/>
  <c r="AB22" i="2" s="1"/>
  <c r="AB21" i="2" a="1"/>
  <c r="AB21" i="2" s="1"/>
  <c r="AB20" i="2" a="1"/>
  <c r="AB20" i="2" s="1"/>
  <c r="AB19" i="2" a="1"/>
  <c r="AB19" i="2" s="1"/>
  <c r="AB18" i="2" a="1"/>
  <c r="AB18" i="2" s="1"/>
  <c r="AB17" i="2" a="1"/>
  <c r="AB17" i="2" s="1"/>
  <c r="AB15" i="2" a="1"/>
  <c r="AB15" i="2" s="1"/>
  <c r="AB14" i="2" a="1"/>
  <c r="AB14" i="2" s="1"/>
  <c r="AB13" i="2" a="1"/>
  <c r="AB13" i="2" s="1"/>
  <c r="AB12" i="2" a="1"/>
  <c r="AB12" i="2" s="1"/>
  <c r="AB11" i="2" a="1"/>
  <c r="AB11" i="2" s="1"/>
  <c r="AB10" i="2" a="1"/>
  <c r="AB10" i="2" s="1"/>
  <c r="AB9" i="2" a="1"/>
  <c r="AB9" i="2" s="1"/>
  <c r="AB7" i="2" a="1"/>
  <c r="AB7" i="2" s="1"/>
  <c r="AB6" i="2" a="1"/>
  <c r="AB6" i="2" s="1"/>
  <c r="AB4" i="2" a="1"/>
  <c r="AB4" i="2" s="1"/>
  <c r="AF106" i="2"/>
  <c r="O106" i="2" s="1"/>
  <c r="AQ62" i="2"/>
  <c r="AP62" i="2" s="1"/>
  <c r="X62" i="2"/>
  <c r="AQ64" i="2"/>
  <c r="AP64" i="2" s="1"/>
  <c r="X64" i="2"/>
  <c r="AQ63" i="2"/>
  <c r="AP63" i="2" s="1"/>
  <c r="X63" i="2"/>
  <c r="X92" i="2"/>
  <c r="AF95" i="2"/>
  <c r="AF94" i="2" s="1"/>
  <c r="O94" i="2" s="1"/>
  <c r="X95" i="2"/>
  <c r="X87" i="2"/>
  <c r="AF84" i="2"/>
  <c r="O84" i="2" s="1"/>
  <c r="X84" i="2"/>
  <c r="AQ59" i="2"/>
  <c r="AP59" i="2" s="1"/>
  <c r="X59" i="2"/>
  <c r="X81" i="2"/>
  <c r="X68" i="2"/>
  <c r="X29" i="2"/>
  <c r="X66" i="2"/>
  <c r="X56" i="2"/>
  <c r="X50" i="2"/>
  <c r="X40" i="2"/>
  <c r="X122" i="2"/>
  <c r="X118" i="2"/>
  <c r="X116" i="2"/>
  <c r="X114" i="2"/>
  <c r="X112" i="2"/>
  <c r="X110" i="2"/>
  <c r="X108" i="2"/>
  <c r="X106" i="2"/>
  <c r="X104" i="2"/>
  <c r="X85" i="2"/>
  <c r="X103" i="2"/>
  <c r="X102" i="2"/>
  <c r="X98" i="2"/>
  <c r="X93" i="2"/>
  <c r="X89" i="2"/>
  <c r="X96" i="2"/>
  <c r="X42" i="2"/>
  <c r="X78" i="2"/>
  <c r="X76" i="2"/>
  <c r="X74" i="2"/>
  <c r="X61" i="2"/>
  <c r="X60" i="2"/>
  <c r="X58" i="2"/>
  <c r="X38" i="2"/>
  <c r="X53" i="2"/>
  <c r="X52" i="2"/>
  <c r="X36" i="2"/>
  <c r="X34" i="2"/>
  <c r="X32" i="2"/>
  <c r="X30" i="2"/>
  <c r="X27" i="2"/>
  <c r="X28" i="2"/>
  <c r="X25" i="2"/>
  <c r="X24" i="2"/>
  <c r="X22" i="2"/>
  <c r="X21" i="2"/>
  <c r="X18" i="2"/>
  <c r="X15" i="2"/>
  <c r="X14" i="2"/>
  <c r="X13" i="2"/>
  <c r="X12" i="2"/>
  <c r="X11" i="2"/>
  <c r="X10" i="2"/>
  <c r="X4" i="2"/>
  <c r="AO79" i="2"/>
  <c r="AO77" i="2"/>
  <c r="AN77" i="2"/>
  <c r="AN79" i="2"/>
  <c r="AQ61" i="2"/>
  <c r="AP61" i="2" s="1"/>
  <c r="AQ60" i="2"/>
  <c r="AP60" i="2" s="1"/>
  <c r="E38" i="3"/>
  <c r="E39" i="3"/>
  <c r="E40" i="3"/>
  <c r="J41" i="3"/>
  <c r="J42" i="3"/>
  <c r="J43" i="3"/>
  <c r="J44" i="3"/>
  <c r="J45" i="3"/>
  <c r="B34" i="3"/>
  <c r="A163" i="2" l="1"/>
  <c r="AJ163" i="2" s="1"/>
  <c r="AK163" i="2" s="1"/>
  <c r="P163" i="2" s="1"/>
  <c r="A178" i="2"/>
  <c r="K178" i="2" s="1"/>
  <c r="K177" i="2"/>
  <c r="F6" i="2"/>
  <c r="H5" i="2"/>
  <c r="Q6" i="2"/>
  <c r="G4" i="9" s="1"/>
  <c r="O95" i="2"/>
  <c r="N126" i="2"/>
  <c r="O126" i="2" s="1"/>
  <c r="N128" i="2"/>
  <c r="O128" i="2" s="1"/>
  <c r="AJ162" i="2"/>
  <c r="AK162" i="2" s="1"/>
  <c r="P162" i="2" s="1"/>
  <c r="K162" i="2" s="1"/>
  <c r="AJ6" i="2"/>
  <c r="AK6" i="2" s="1"/>
  <c r="K6" i="2" s="1"/>
  <c r="F4" i="9" s="1"/>
  <c r="A7" i="2"/>
  <c r="A164" i="2" l="1"/>
  <c r="A165" i="2" s="1"/>
  <c r="K7" i="2"/>
  <c r="A8" i="2"/>
  <c r="G6" i="2"/>
  <c r="H6" i="2" s="1"/>
  <c r="K163" i="2"/>
  <c r="X162" i="2"/>
  <c r="V162" i="2" s="1"/>
  <c r="W162" i="2"/>
  <c r="X163" i="2"/>
  <c r="V163" i="2" s="1"/>
  <c r="W163" i="2"/>
  <c r="AF116" i="2"/>
  <c r="O116" i="2" s="1"/>
  <c r="AF115" i="2"/>
  <c r="AF114" i="2"/>
  <c r="O114" i="2" s="1"/>
  <c r="AF113" i="2"/>
  <c r="AF112" i="2"/>
  <c r="O112" i="2" s="1"/>
  <c r="AF79" i="2"/>
  <c r="O79" i="2" s="1"/>
  <c r="AF77" i="2"/>
  <c r="O77" i="2" s="1"/>
  <c r="AF75" i="2"/>
  <c r="O75" i="2" s="1"/>
  <c r="AF111" i="2"/>
  <c r="AJ164" i="2" l="1"/>
  <c r="AK164" i="2" s="1"/>
  <c r="P164" i="2" s="1"/>
  <c r="K164" i="2" s="1"/>
  <c r="AJ8" i="2"/>
  <c r="AK8" i="2" s="1"/>
  <c r="K8" i="2" s="1"/>
  <c r="F6" i="9" s="1"/>
  <c r="A9" i="2"/>
  <c r="F8" i="2"/>
  <c r="G8" i="2" s="1"/>
  <c r="H8" i="2" s="1"/>
  <c r="H7" i="2"/>
  <c r="O111" i="2"/>
  <c r="O113" i="2"/>
  <c r="O115" i="2"/>
  <c r="X164" i="2"/>
  <c r="V164" i="2" s="1"/>
  <c r="A166" i="2"/>
  <c r="AJ165" i="2"/>
  <c r="AK165" i="2" s="1"/>
  <c r="P165" i="2" s="1"/>
  <c r="K165" i="2" s="1"/>
  <c r="G8" i="4" a="1"/>
  <c r="G17" i="4" s="1"/>
  <c r="C7" i="4"/>
  <c r="Z159" i="2"/>
  <c r="P159" i="2"/>
  <c r="K159" i="2" s="1"/>
  <c r="Z158" i="2"/>
  <c r="P158" i="2"/>
  <c r="K158" i="2" s="1"/>
  <c r="Z157" i="2"/>
  <c r="P157" i="2"/>
  <c r="K157" i="2" s="1"/>
  <c r="Z156" i="2"/>
  <c r="P156" i="2"/>
  <c r="K156" i="2" s="1"/>
  <c r="Z155" i="2"/>
  <c r="P155" i="2"/>
  <c r="K155" i="2" s="1"/>
  <c r="Z154" i="2"/>
  <c r="P154" i="2"/>
  <c r="K154" i="2" s="1"/>
  <c r="Z153" i="2"/>
  <c r="P153" i="2"/>
  <c r="K153" i="2" s="1"/>
  <c r="Z152" i="2"/>
  <c r="P152" i="2"/>
  <c r="K152" i="2" s="1"/>
  <c r="Z151" i="2"/>
  <c r="P151" i="2"/>
  <c r="K151" i="2" s="1"/>
  <c r="Z150" i="2"/>
  <c r="Z149" i="2"/>
  <c r="P149" i="2"/>
  <c r="K149" i="2" s="1"/>
  <c r="A10" i="2" l="1"/>
  <c r="K10" i="2" s="1"/>
  <c r="W164" i="2"/>
  <c r="AJ9" i="2"/>
  <c r="AK9" i="2" s="1"/>
  <c r="K9" i="2" s="1"/>
  <c r="A11" i="2"/>
  <c r="K11" i="2" s="1"/>
  <c r="H9" i="2"/>
  <c r="F10" i="2"/>
  <c r="G10" i="2" s="1"/>
  <c r="X165" i="2"/>
  <c r="V165" i="2" s="1"/>
  <c r="W165" i="2"/>
  <c r="A167" i="2"/>
  <c r="AJ166" i="2"/>
  <c r="AK166" i="2" s="1"/>
  <c r="P166" i="2" s="1"/>
  <c r="K166" i="2" s="1"/>
  <c r="X6" i="2"/>
  <c r="V6" i="2" s="1"/>
  <c r="W10" i="2"/>
  <c r="V10" i="2"/>
  <c r="W110" i="2"/>
  <c r="V110" i="2"/>
  <c r="W11" i="2"/>
  <c r="V11" i="2"/>
  <c r="H8" i="4" a="1"/>
  <c r="H14" i="4" s="1"/>
  <c r="W6" i="2"/>
  <c r="I8" i="4" a="1"/>
  <c r="I12" i="4" s="1"/>
  <c r="F8" i="4" a="1"/>
  <c r="F17" i="4" s="1"/>
  <c r="G10" i="4"/>
  <c r="G18" i="4"/>
  <c r="G9" i="4"/>
  <c r="G11" i="4"/>
  <c r="G12" i="4"/>
  <c r="G13" i="4"/>
  <c r="G14" i="4"/>
  <c r="G15" i="4"/>
  <c r="G16" i="4"/>
  <c r="G8" i="4"/>
  <c r="A12" i="2" l="1"/>
  <c r="K12" i="2" s="1"/>
  <c r="F11" i="2"/>
  <c r="H10" i="2"/>
  <c r="X166" i="2"/>
  <c r="V166" i="2" s="1"/>
  <c r="W166" i="2"/>
  <c r="A168" i="2"/>
  <c r="AJ167" i="2"/>
  <c r="AK167" i="2" s="1"/>
  <c r="P167" i="2" s="1"/>
  <c r="K167" i="2" s="1"/>
  <c r="A13" i="2"/>
  <c r="K13" i="2" s="1"/>
  <c r="H9" i="4"/>
  <c r="H10" i="4"/>
  <c r="H12" i="4"/>
  <c r="H13" i="4"/>
  <c r="H11" i="4"/>
  <c r="H8" i="4"/>
  <c r="I16" i="4"/>
  <c r="I11" i="4"/>
  <c r="I8" i="4"/>
  <c r="I17" i="4"/>
  <c r="F14" i="4"/>
  <c r="I13" i="4"/>
  <c r="I14" i="4"/>
  <c r="I15" i="4"/>
  <c r="I9" i="4"/>
  <c r="I10" i="4"/>
  <c r="F16" i="4"/>
  <c r="F18" i="4"/>
  <c r="F10" i="4"/>
  <c r="F9" i="4"/>
  <c r="F11" i="4"/>
  <c r="F12" i="4"/>
  <c r="F13" i="4"/>
  <c r="F15" i="4"/>
  <c r="F8" i="4"/>
  <c r="G11" i="2" l="1"/>
  <c r="H11" i="2" s="1"/>
  <c r="H12" i="2"/>
  <c r="F13" i="2"/>
  <c r="G13" i="2" s="1"/>
  <c r="X167" i="2"/>
  <c r="V167" i="2" s="1"/>
  <c r="W167" i="2"/>
  <c r="AJ168" i="2"/>
  <c r="AK168" i="2" s="1"/>
  <c r="P168" i="2" s="1"/>
  <c r="K168" i="2" s="1"/>
  <c r="A169" i="2"/>
  <c r="V12" i="2"/>
  <c r="W12" i="2"/>
  <c r="A14" i="2"/>
  <c r="K14" i="2" s="1"/>
  <c r="H13" i="2" l="1"/>
  <c r="F14" i="2"/>
  <c r="G14" i="2" s="1"/>
  <c r="X168" i="2"/>
  <c r="V168" i="2" s="1"/>
  <c r="W168" i="2"/>
  <c r="A170" i="2"/>
  <c r="AJ169" i="2"/>
  <c r="AK169" i="2" s="1"/>
  <c r="P169" i="2" s="1"/>
  <c r="K169" i="2" s="1"/>
  <c r="V13" i="2"/>
  <c r="W13" i="2"/>
  <c r="A15" i="2"/>
  <c r="K15" i="2" l="1"/>
  <c r="A16" i="2"/>
  <c r="F15" i="2"/>
  <c r="H14" i="2"/>
  <c r="G15" i="2"/>
  <c r="X169" i="2"/>
  <c r="V169" i="2" s="1"/>
  <c r="W169" i="2"/>
  <c r="A171" i="2"/>
  <c r="AJ170" i="2"/>
  <c r="AK170" i="2" s="1"/>
  <c r="P170" i="2" s="1"/>
  <c r="K170" i="2" s="1"/>
  <c r="W14" i="2"/>
  <c r="V14" i="2"/>
  <c r="A17" i="2" l="1"/>
  <c r="K16" i="2"/>
  <c r="F17" i="2"/>
  <c r="G17" i="2" s="1"/>
  <c r="H15" i="2"/>
  <c r="P17" i="2"/>
  <c r="X170" i="2"/>
  <c r="V170" i="2" s="1"/>
  <c r="W170" i="2"/>
  <c r="A172" i="2"/>
  <c r="AJ171" i="2"/>
  <c r="AK171" i="2" s="1"/>
  <c r="P171" i="2" s="1"/>
  <c r="K171" i="2" s="1"/>
  <c r="AJ17" i="2"/>
  <c r="AK17" i="2" s="1"/>
  <c r="W15" i="2"/>
  <c r="V15" i="2"/>
  <c r="A18" i="2"/>
  <c r="K18" i="2" s="1"/>
  <c r="K17" i="2" l="1"/>
  <c r="F15" i="9" s="1"/>
  <c r="Q17" i="2"/>
  <c r="G15" i="9" s="1"/>
  <c r="H17" i="2"/>
  <c r="F18" i="2"/>
  <c r="G18" i="2" s="1"/>
  <c r="X171" i="2"/>
  <c r="V171" i="2" s="1"/>
  <c r="W171" i="2"/>
  <c r="A173" i="2"/>
  <c r="AJ172" i="2"/>
  <c r="AK172" i="2" s="1"/>
  <c r="P172" i="2" s="1"/>
  <c r="K172" i="2" s="1"/>
  <c r="X17" i="2"/>
  <c r="V17" i="2" s="1"/>
  <c r="W17" i="2"/>
  <c r="A19" i="2"/>
  <c r="H18" i="2" l="1"/>
  <c r="P19" i="2"/>
  <c r="F19" i="2"/>
  <c r="G19" i="2" s="1"/>
  <c r="X172" i="2"/>
  <c r="V172" i="2" s="1"/>
  <c r="W172" i="2"/>
  <c r="AJ173" i="2"/>
  <c r="AK173" i="2" s="1"/>
  <c r="P173" i="2" s="1"/>
  <c r="K173" i="2" s="1"/>
  <c r="A174" i="2"/>
  <c r="AJ19" i="2"/>
  <c r="AK19" i="2" s="1"/>
  <c r="W18" i="2"/>
  <c r="V18" i="2"/>
  <c r="A20" i="2"/>
  <c r="K19" i="2" l="1"/>
  <c r="F17" i="9" s="1"/>
  <c r="H19" i="2"/>
  <c r="Q19" i="2"/>
  <c r="G17" i="9" s="1"/>
  <c r="P20" i="2"/>
  <c r="F20" i="2"/>
  <c r="G20" i="2" s="1"/>
  <c r="X173" i="2"/>
  <c r="V173" i="2" s="1"/>
  <c r="W173" i="2"/>
  <c r="A175" i="2"/>
  <c r="AJ174" i="2"/>
  <c r="AK174" i="2" s="1"/>
  <c r="P174" i="2" s="1"/>
  <c r="K174" i="2" s="1"/>
  <c r="W19" i="2"/>
  <c r="X19" i="2"/>
  <c r="V19" i="2" s="1"/>
  <c r="AJ20" i="2"/>
  <c r="AK20" i="2" s="1"/>
  <c r="A21" i="2"/>
  <c r="K21" i="2" s="1"/>
  <c r="K20" i="2" l="1"/>
  <c r="F18" i="9" s="1"/>
  <c r="H20" i="2"/>
  <c r="Q20" i="2"/>
  <c r="G18" i="9" s="1"/>
  <c r="F21" i="2"/>
  <c r="G21" i="2" s="1"/>
  <c r="X174" i="2"/>
  <c r="V174" i="2" s="1"/>
  <c r="W174" i="2"/>
  <c r="A176" i="2"/>
  <c r="AJ175" i="2"/>
  <c r="AK175" i="2" s="1"/>
  <c r="P175" i="2" s="1"/>
  <c r="K175" i="2" s="1"/>
  <c r="W20" i="2"/>
  <c r="X20" i="2"/>
  <c r="V20" i="2" s="1"/>
  <c r="A22" i="2"/>
  <c r="K22" i="2" s="1"/>
  <c r="H21" i="2" l="1"/>
  <c r="Q22" i="2"/>
  <c r="G20" i="9" s="1"/>
  <c r="F22" i="2"/>
  <c r="G22" i="2" s="1"/>
  <c r="X175" i="2"/>
  <c r="V175" i="2" s="1"/>
  <c r="W175" i="2"/>
  <c r="AJ176" i="2"/>
  <c r="AK176" i="2" s="1"/>
  <c r="P176" i="2" s="1"/>
  <c r="K176" i="2" s="1"/>
  <c r="V21" i="2"/>
  <c r="W21" i="2"/>
  <c r="A23" i="2"/>
  <c r="H22" i="2" l="1"/>
  <c r="P23" i="2"/>
  <c r="F23" i="2"/>
  <c r="G23" i="2" s="1"/>
  <c r="X176" i="2"/>
  <c r="V176" i="2" s="1"/>
  <c r="W176" i="2"/>
  <c r="AJ23" i="2"/>
  <c r="AK23" i="2" s="1"/>
  <c r="W22" i="2"/>
  <c r="V22" i="2"/>
  <c r="A24" i="2"/>
  <c r="K24" i="2" s="1"/>
  <c r="K23" i="2" l="1"/>
  <c r="F21" i="9" s="1"/>
  <c r="H23" i="2"/>
  <c r="F24" i="2"/>
  <c r="G24" i="2" s="1"/>
  <c r="W23" i="2"/>
  <c r="X23" i="2"/>
  <c r="V23" i="2" s="1"/>
  <c r="A25" i="2"/>
  <c r="K25" i="2" s="1"/>
  <c r="Q25" i="2" l="1"/>
  <c r="G23" i="9" s="1"/>
  <c r="H24" i="2"/>
  <c r="F25" i="2"/>
  <c r="G25" i="2" s="1"/>
  <c r="V24" i="2"/>
  <c r="W24" i="2"/>
  <c r="A26" i="2"/>
  <c r="H25" i="2" l="1"/>
  <c r="P26" i="2"/>
  <c r="F26" i="2"/>
  <c r="G26" i="2" s="1"/>
  <c r="AJ26" i="2"/>
  <c r="AK26" i="2" s="1"/>
  <c r="V25" i="2"/>
  <c r="W25" i="2"/>
  <c r="A27" i="2"/>
  <c r="K27" i="2" s="1"/>
  <c r="K26" i="2" l="1"/>
  <c r="F24" i="9" s="1"/>
  <c r="H26" i="2"/>
  <c r="X26" i="2"/>
  <c r="V26" i="2" s="1"/>
  <c r="W26" i="2"/>
  <c r="A28" i="2"/>
  <c r="K28" i="2" s="1"/>
  <c r="W27" i="2" l="1"/>
  <c r="V27" i="2"/>
  <c r="A29" i="2"/>
  <c r="K29" i="2" s="1"/>
  <c r="F29" i="2" l="1"/>
  <c r="G29" i="2" s="1"/>
  <c r="V28" i="2"/>
  <c r="W28" i="2"/>
  <c r="A30" i="2"/>
  <c r="K30" i="2" s="1"/>
  <c r="Q30" i="2" l="1"/>
  <c r="G28" i="9" s="1"/>
  <c r="H29" i="2"/>
  <c r="F30" i="2"/>
  <c r="G30" i="2" s="1"/>
  <c r="W29" i="2"/>
  <c r="V29" i="2"/>
  <c r="A31" i="2"/>
  <c r="H30" i="2" l="1"/>
  <c r="Q31" i="2"/>
  <c r="G29" i="9" s="1"/>
  <c r="F31" i="2"/>
  <c r="G31" i="2" s="1"/>
  <c r="AJ31" i="2"/>
  <c r="AK31" i="2" s="1"/>
  <c r="W30" i="2"/>
  <c r="V30" i="2"/>
  <c r="A32" i="2"/>
  <c r="K32" i="2" s="1"/>
  <c r="K31" i="2" l="1"/>
  <c r="F29" i="9" s="1"/>
  <c r="H31" i="2"/>
  <c r="E29" i="9" s="1"/>
  <c r="F32" i="2"/>
  <c r="G32" i="2" s="1"/>
  <c r="X31" i="2"/>
  <c r="V31" i="2" s="1"/>
  <c r="W31" i="2"/>
  <c r="A33" i="2"/>
  <c r="H32" i="2" l="1"/>
  <c r="P33" i="2"/>
  <c r="F33" i="2"/>
  <c r="G33" i="2" s="1"/>
  <c r="AJ33" i="2"/>
  <c r="AK33" i="2" s="1"/>
  <c r="W32" i="2"/>
  <c r="V32" i="2"/>
  <c r="A34" i="2"/>
  <c r="K34" i="2" s="1"/>
  <c r="K33" i="2" l="1"/>
  <c r="F31" i="9" s="1"/>
  <c r="H33" i="2"/>
  <c r="Q33" i="2"/>
  <c r="G31" i="9" s="1"/>
  <c r="F34" i="2"/>
  <c r="G34" i="2" s="1"/>
  <c r="W33" i="2"/>
  <c r="X33" i="2"/>
  <c r="V33" i="2" s="1"/>
  <c r="A35" i="2"/>
  <c r="H34" i="2" l="1"/>
  <c r="P35" i="2"/>
  <c r="F35" i="2"/>
  <c r="G35" i="2" s="1"/>
  <c r="AJ35" i="2"/>
  <c r="AK35" i="2" s="1"/>
  <c r="W34" i="2"/>
  <c r="V34" i="2"/>
  <c r="A36" i="2"/>
  <c r="K36" i="2" s="1"/>
  <c r="K35" i="2" l="1"/>
  <c r="F33" i="9" s="1"/>
  <c r="Q35" i="2"/>
  <c r="G33" i="9" s="1"/>
  <c r="H35" i="2"/>
  <c r="F36" i="2"/>
  <c r="G36" i="2" s="1"/>
  <c r="X35" i="2"/>
  <c r="V35" i="2" s="1"/>
  <c r="W35" i="2"/>
  <c r="A37" i="2"/>
  <c r="H36" i="2" l="1"/>
  <c r="P37" i="2"/>
  <c r="F37" i="2"/>
  <c r="G37" i="2" s="1"/>
  <c r="AJ37" i="2"/>
  <c r="AK37" i="2" s="1"/>
  <c r="W36" i="2"/>
  <c r="V36" i="2"/>
  <c r="A38" i="2"/>
  <c r="K38" i="2" s="1"/>
  <c r="K37" i="2" l="1"/>
  <c r="F35" i="9" s="1"/>
  <c r="Q37" i="2"/>
  <c r="G35" i="9" s="1"/>
  <c r="H37" i="2"/>
  <c r="F38" i="2"/>
  <c r="G38" i="2" s="1"/>
  <c r="X37" i="2"/>
  <c r="V37" i="2" s="1"/>
  <c r="W37" i="2"/>
  <c r="A39" i="2"/>
  <c r="H38" i="2" l="1"/>
  <c r="P39" i="2"/>
  <c r="F39" i="2"/>
  <c r="G39" i="2" s="1"/>
  <c r="AJ39" i="2"/>
  <c r="AK39" i="2" s="1"/>
  <c r="W38" i="2"/>
  <c r="V38" i="2"/>
  <c r="A40" i="2"/>
  <c r="K40" i="2" s="1"/>
  <c r="K39" i="2" l="1"/>
  <c r="F37" i="9" s="1"/>
  <c r="Q39" i="2"/>
  <c r="G37" i="9" s="1"/>
  <c r="H39" i="2"/>
  <c r="F40" i="2"/>
  <c r="G40" i="2" s="1"/>
  <c r="W39" i="2"/>
  <c r="X39" i="2"/>
  <c r="V39" i="2" s="1"/>
  <c r="A41" i="2"/>
  <c r="H40" i="2" l="1"/>
  <c r="P41" i="2"/>
  <c r="F41" i="2"/>
  <c r="G41" i="2" s="1"/>
  <c r="AJ41" i="2"/>
  <c r="AK41" i="2" s="1"/>
  <c r="V40" i="2"/>
  <c r="W40" i="2"/>
  <c r="A42" i="2"/>
  <c r="K42" i="2" s="1"/>
  <c r="K41" i="2" l="1"/>
  <c r="F39" i="9" s="1"/>
  <c r="A43" i="2"/>
  <c r="K43" i="2" s="1"/>
  <c r="H41" i="2"/>
  <c r="Q41" i="2"/>
  <c r="G39" i="9" s="1"/>
  <c r="F42" i="2"/>
  <c r="G42" i="2" s="1"/>
  <c r="X41" i="2"/>
  <c r="V41" i="2" s="1"/>
  <c r="W41" i="2"/>
  <c r="A44" i="2" l="1"/>
  <c r="P44" i="2" s="1"/>
  <c r="F43" i="2"/>
  <c r="Q43" i="2"/>
  <c r="G41" i="9" s="1"/>
  <c r="H42" i="2"/>
  <c r="W42" i="2"/>
  <c r="V42" i="2"/>
  <c r="G43" i="2" l="1"/>
  <c r="H43" i="2" s="1"/>
  <c r="F44" i="2"/>
  <c r="A45" i="2"/>
  <c r="K45" i="2" s="1"/>
  <c r="AJ44" i="2"/>
  <c r="AK44" i="2" s="1"/>
  <c r="K44" i="2" s="1"/>
  <c r="F42" i="9" s="1"/>
  <c r="X44" i="2"/>
  <c r="V44" i="2" s="1"/>
  <c r="W44" i="2"/>
  <c r="G44" i="2" l="1"/>
  <c r="H44" i="2" s="1"/>
  <c r="F45" i="2"/>
  <c r="A46" i="2"/>
  <c r="K46" i="2" s="1"/>
  <c r="W50" i="2"/>
  <c r="V50" i="2"/>
  <c r="Q46" i="2" l="1"/>
  <c r="G44" i="9" s="1"/>
  <c r="G45" i="2"/>
  <c r="H45" i="2" s="1"/>
  <c r="A47" i="2"/>
  <c r="AJ47" i="2" s="1"/>
  <c r="AK47" i="2" s="1"/>
  <c r="F46" i="2"/>
  <c r="G46" i="2" s="1"/>
  <c r="H46" i="2" s="1"/>
  <c r="A48" i="2" l="1"/>
  <c r="K48" i="2" s="1"/>
  <c r="P47" i="2"/>
  <c r="K47" i="2" s="1"/>
  <c r="F45" i="9" s="1"/>
  <c r="F47" i="2"/>
  <c r="G47" i="2" s="1"/>
  <c r="H47" i="2"/>
  <c r="W52" i="2"/>
  <c r="V52" i="2"/>
  <c r="F48" i="2" l="1"/>
  <c r="A49" i="2"/>
  <c r="P49" i="2" s="1"/>
  <c r="W49" i="2" s="1"/>
  <c r="X47" i="2"/>
  <c r="V47" i="2" s="1"/>
  <c r="G48" i="2"/>
  <c r="H48" i="2" s="1"/>
  <c r="W47" i="2"/>
  <c r="A50" i="2"/>
  <c r="K50" i="2" s="1"/>
  <c r="AJ49" i="2"/>
  <c r="AK49" i="2" s="1"/>
  <c r="F49" i="2"/>
  <c r="W53" i="2"/>
  <c r="V53" i="2"/>
  <c r="K49" i="2" l="1"/>
  <c r="F47" i="9" s="1"/>
  <c r="Q49" i="2"/>
  <c r="G47" i="9" s="1"/>
  <c r="X49" i="2"/>
  <c r="V49" i="2" s="1"/>
  <c r="G49" i="2"/>
  <c r="H49" i="2" s="1"/>
  <c r="F50" i="2"/>
  <c r="A51" i="2"/>
  <c r="A52" i="2" s="1"/>
  <c r="K52" i="2" s="1"/>
  <c r="P51" i="2"/>
  <c r="Q51" i="2" s="1"/>
  <c r="G49" i="9" s="1"/>
  <c r="AJ51" i="2"/>
  <c r="AK51" i="2" s="1"/>
  <c r="F51" i="2" l="1"/>
  <c r="G51" i="2"/>
  <c r="H51" i="2" s="1"/>
  <c r="G50" i="2"/>
  <c r="H50" i="2" s="1"/>
  <c r="F52" i="2"/>
  <c r="G52" i="2" s="1"/>
  <c r="H52" i="2" s="1"/>
  <c r="A53" i="2"/>
  <c r="K53" i="2" s="1"/>
  <c r="K51" i="2"/>
  <c r="F49" i="9" s="1"/>
  <c r="A54" i="2"/>
  <c r="K54" i="2" s="1"/>
  <c r="W51" i="2"/>
  <c r="X51" i="2"/>
  <c r="V51" i="2" s="1"/>
  <c r="F53" i="2" l="1"/>
  <c r="G53" i="2" s="1"/>
  <c r="A55" i="2"/>
  <c r="P55" i="2" s="1"/>
  <c r="Q55" i="2" s="1"/>
  <c r="G53" i="9" s="1"/>
  <c r="H53" i="2"/>
  <c r="A56" i="2"/>
  <c r="F55" i="2"/>
  <c r="G55" i="2" s="1"/>
  <c r="AJ55" i="2"/>
  <c r="AK55" i="2" s="1"/>
  <c r="W56" i="2"/>
  <c r="V56" i="2"/>
  <c r="K56" i="2" l="1"/>
  <c r="A57" i="2"/>
  <c r="A58" i="2" s="1"/>
  <c r="K55" i="2"/>
  <c r="F53" i="9" s="1"/>
  <c r="H55" i="2"/>
  <c r="X55" i="2"/>
  <c r="V55" i="2" s="1"/>
  <c r="W55" i="2"/>
  <c r="F56" i="2"/>
  <c r="G56" i="2" s="1"/>
  <c r="F57" i="2" l="1"/>
  <c r="G57" i="2" s="1"/>
  <c r="H57" i="2" s="1"/>
  <c r="K57" i="2"/>
  <c r="H56" i="2"/>
  <c r="F58" i="2" l="1"/>
  <c r="A59" i="2"/>
  <c r="G58" i="2" l="1"/>
  <c r="H58" i="2" s="1"/>
  <c r="F59" i="2"/>
  <c r="A60" i="2"/>
  <c r="G59" i="2" l="1"/>
  <c r="H59" i="2" s="1"/>
  <c r="A61" i="2"/>
  <c r="F60" i="2"/>
  <c r="G60" i="2" l="1"/>
  <c r="H60" i="2" s="1"/>
  <c r="F61" i="2"/>
  <c r="A62" i="2"/>
  <c r="G61" i="2" l="1"/>
  <c r="H61" i="2" s="1"/>
  <c r="F62" i="2"/>
  <c r="A63" i="2"/>
  <c r="G62" i="2" l="1"/>
  <c r="H62" i="2" s="1"/>
  <c r="F63" i="2"/>
  <c r="A64" i="2"/>
  <c r="G63" i="2" l="1"/>
  <c r="H63" i="2" s="1"/>
  <c r="A65" i="2"/>
  <c r="F64" i="2"/>
  <c r="W66" i="2"/>
  <c r="V66" i="2"/>
  <c r="G64" i="2" l="1"/>
  <c r="H64" i="2" s="1"/>
  <c r="F65" i="2"/>
  <c r="AJ65" i="2"/>
  <c r="AK65" i="2" s="1"/>
  <c r="A66" i="2"/>
  <c r="K66" i="2" s="1"/>
  <c r="AF29" i="2"/>
  <c r="O29" i="2" s="1"/>
  <c r="P65" i="2"/>
  <c r="K65" i="2" s="1"/>
  <c r="F63" i="9" s="1"/>
  <c r="G65" i="2" l="1"/>
  <c r="H65" i="2" s="1"/>
  <c r="Q65" i="2"/>
  <c r="G63" i="9" s="1"/>
  <c r="W65" i="2"/>
  <c r="X65" i="2"/>
  <c r="V65" i="2" s="1"/>
  <c r="A67" i="2"/>
  <c r="F66" i="2"/>
  <c r="G66" i="2" l="1"/>
  <c r="H66" i="2" s="1"/>
  <c r="A68" i="2"/>
  <c r="K68" i="2" s="1"/>
  <c r="A69" i="2" l="1"/>
  <c r="W75" i="2"/>
  <c r="X75" i="2"/>
  <c r="V75" i="2" s="1"/>
  <c r="F69" i="2" l="1"/>
  <c r="A70" i="2"/>
  <c r="K70" i="2" s="1"/>
  <c r="P69" i="2"/>
  <c r="AJ69" i="2"/>
  <c r="AK69" i="2" s="1"/>
  <c r="K69" i="2" l="1"/>
  <c r="F67" i="9" s="1"/>
  <c r="G69" i="2"/>
  <c r="H69" i="2" s="1"/>
  <c r="W69" i="2"/>
  <c r="Q69" i="2"/>
  <c r="G67" i="9" s="1"/>
  <c r="X69" i="2"/>
  <c r="V69" i="2" s="1"/>
  <c r="F70" i="2"/>
  <c r="A71" i="2"/>
  <c r="X77" i="2"/>
  <c r="V77" i="2" s="1"/>
  <c r="W77" i="2"/>
  <c r="G70" i="2" l="1"/>
  <c r="H70" i="2" s="1"/>
  <c r="P71" i="2"/>
  <c r="AJ71" i="2"/>
  <c r="AK71" i="2" s="1"/>
  <c r="F71" i="2"/>
  <c r="A72" i="2"/>
  <c r="K72" i="2" l="1"/>
  <c r="A73" i="2"/>
  <c r="G71" i="2"/>
  <c r="H71" i="2" s="1"/>
  <c r="K71" i="2"/>
  <c r="F69" i="9" s="1"/>
  <c r="Q72" i="2"/>
  <c r="G70" i="9" s="1"/>
  <c r="F72" i="2"/>
  <c r="W71" i="2"/>
  <c r="X71" i="2"/>
  <c r="V71" i="2" s="1"/>
  <c r="Q71" i="2"/>
  <c r="G69" i="9" s="1"/>
  <c r="P67" i="2"/>
  <c r="F67" i="2"/>
  <c r="G67" i="2" s="1"/>
  <c r="X79" i="2"/>
  <c r="V79" i="2" s="1"/>
  <c r="W79" i="2"/>
  <c r="AJ67" i="2"/>
  <c r="AK67" i="2" s="1"/>
  <c r="F68" i="2"/>
  <c r="G68" i="2" s="1"/>
  <c r="G72" i="2" l="1"/>
  <c r="H72" i="2" s="1"/>
  <c r="K67" i="2"/>
  <c r="F65" i="9" s="1"/>
  <c r="Q67" i="2"/>
  <c r="G65" i="9" s="1"/>
  <c r="H67" i="2"/>
  <c r="H68" i="2"/>
  <c r="X67" i="2"/>
  <c r="V67" i="2" s="1"/>
  <c r="W67" i="2"/>
  <c r="F73" i="2" l="1"/>
  <c r="A74" i="2"/>
  <c r="W68" i="2"/>
  <c r="V68" i="2"/>
  <c r="G73" i="2" l="1"/>
  <c r="H73" i="2" s="1"/>
  <c r="A75" i="2"/>
  <c r="F74" i="2"/>
  <c r="G74" i="2" l="1"/>
  <c r="H74" i="2" s="1"/>
  <c r="F75" i="2"/>
  <c r="A76" i="2"/>
  <c r="W81" i="2"/>
  <c r="V81" i="2"/>
  <c r="G75" i="2" l="1"/>
  <c r="H75" i="2" s="1"/>
  <c r="F76" i="2"/>
  <c r="A77" i="2"/>
  <c r="G76" i="2" l="1"/>
  <c r="H76" i="2" s="1"/>
  <c r="A78" i="2"/>
  <c r="F77" i="2"/>
  <c r="G77" i="2" l="1"/>
  <c r="H77" i="2" s="1"/>
  <c r="F78" i="2"/>
  <c r="A79" i="2"/>
  <c r="W85" i="2"/>
  <c r="V85" i="2"/>
  <c r="G78" i="2" l="1"/>
  <c r="H78" i="2" s="1"/>
  <c r="F79" i="2"/>
  <c r="A80" i="2"/>
  <c r="G79" i="2" l="1"/>
  <c r="H79" i="2" s="1"/>
  <c r="F80" i="2"/>
  <c r="AJ80" i="2"/>
  <c r="AK80" i="2" s="1"/>
  <c r="A81" i="2"/>
  <c r="K81" i="2" s="1"/>
  <c r="P80" i="2"/>
  <c r="K80" i="2" s="1"/>
  <c r="F78" i="9" s="1"/>
  <c r="G80" i="2" l="1"/>
  <c r="H80" i="2" s="1"/>
  <c r="W80" i="2"/>
  <c r="X80" i="2"/>
  <c r="V80" i="2" s="1"/>
  <c r="F81" i="2"/>
  <c r="A82" i="2"/>
  <c r="A83" i="2" s="1"/>
  <c r="A84" i="2" s="1"/>
  <c r="F83" i="2" l="1"/>
  <c r="G83" i="2" s="1"/>
  <c r="H83" i="2" s="1"/>
  <c r="K83" i="2"/>
  <c r="G81" i="2"/>
  <c r="H81" i="2" s="1"/>
  <c r="P82" i="2"/>
  <c r="F82" i="2"/>
  <c r="AJ82" i="2"/>
  <c r="AK82" i="2" s="1"/>
  <c r="W87" i="2"/>
  <c r="V87" i="2"/>
  <c r="K82" i="2" l="1"/>
  <c r="F80" i="9" s="1"/>
  <c r="G82" i="2"/>
  <c r="H82" i="2" s="1"/>
  <c r="A85" i="2"/>
  <c r="K85" i="2" s="1"/>
  <c r="P84" i="2"/>
  <c r="K84" i="2" s="1"/>
  <c r="F84" i="2"/>
  <c r="AJ59" i="2"/>
  <c r="AK59" i="2" s="1"/>
  <c r="Q82" i="2"/>
  <c r="G80" i="9" s="1"/>
  <c r="X82" i="2"/>
  <c r="V82" i="2" s="1"/>
  <c r="W82" i="2"/>
  <c r="G84" i="2" l="1"/>
  <c r="H84" i="2" s="1"/>
  <c r="P59" i="2"/>
  <c r="K59" i="2" s="1"/>
  <c r="AL59" i="2"/>
  <c r="AL84" i="2" s="1"/>
  <c r="V84" i="2" s="1"/>
  <c r="Q84" i="2"/>
  <c r="G82" i="9" s="1"/>
  <c r="W84" i="2"/>
  <c r="F85" i="2"/>
  <c r="A86" i="2"/>
  <c r="W89" i="2"/>
  <c r="V89" i="2"/>
  <c r="G85" i="2" l="1"/>
  <c r="H85" i="2" s="1"/>
  <c r="AJ86" i="2"/>
  <c r="AK86" i="2" s="1"/>
  <c r="A87" i="2"/>
  <c r="K87" i="2" s="1"/>
  <c r="F86" i="2"/>
  <c r="P86" i="2"/>
  <c r="K86" i="2" s="1"/>
  <c r="F84" i="9" s="1"/>
  <c r="Q59" i="2"/>
  <c r="G57" i="9" s="1"/>
  <c r="W59" i="2"/>
  <c r="V59" i="2"/>
  <c r="G86" i="2" l="1"/>
  <c r="H86" i="2" s="1"/>
  <c r="F87" i="2"/>
  <c r="A88" i="2"/>
  <c r="Q86" i="2"/>
  <c r="G84" i="9" s="1"/>
  <c r="X86" i="2"/>
  <c r="V86" i="2" s="1"/>
  <c r="W86" i="2"/>
  <c r="Q92" i="2"/>
  <c r="G90" i="9" s="1"/>
  <c r="G87" i="2" l="1"/>
  <c r="H87" i="2" s="1"/>
  <c r="AJ88" i="2"/>
  <c r="AK88" i="2" s="1"/>
  <c r="A89" i="2"/>
  <c r="K89" i="2" s="1"/>
  <c r="P88" i="2"/>
  <c r="K88" i="2" s="1"/>
  <c r="F86" i="9" s="1"/>
  <c r="F88" i="2"/>
  <c r="V92" i="2"/>
  <c r="W92" i="2"/>
  <c r="G88" i="2" l="1"/>
  <c r="H88" i="2" s="1"/>
  <c r="Q88" i="2"/>
  <c r="G86" i="9" s="1"/>
  <c r="X88" i="2"/>
  <c r="V88" i="2" s="1"/>
  <c r="W88" i="2"/>
  <c r="Q89" i="2"/>
  <c r="G87" i="9" s="1"/>
  <c r="F89" i="2"/>
  <c r="A90" i="2"/>
  <c r="Q93" i="2"/>
  <c r="G91" i="9" s="1"/>
  <c r="W93" i="2"/>
  <c r="V93" i="2"/>
  <c r="G89" i="2" l="1"/>
  <c r="H89" i="2" s="1"/>
  <c r="F90" i="2"/>
  <c r="A91" i="2"/>
  <c r="AJ90" i="2"/>
  <c r="AK90" i="2" s="1"/>
  <c r="P90" i="2"/>
  <c r="K90" i="2" s="1"/>
  <c r="F88" i="9" s="1"/>
  <c r="G90" i="2" l="1"/>
  <c r="H90" i="2" s="1"/>
  <c r="X90" i="2"/>
  <c r="V90" i="2" s="1"/>
  <c r="W90" i="2"/>
  <c r="P91" i="2"/>
  <c r="AJ91" i="2"/>
  <c r="AK91" i="2" s="1"/>
  <c r="A92" i="2"/>
  <c r="K92" i="2" s="1"/>
  <c r="F91" i="2"/>
  <c r="G91" i="2" l="1"/>
  <c r="H91" i="2" s="1"/>
  <c r="K91" i="2"/>
  <c r="F89" i="9" s="1"/>
  <c r="A93" i="2"/>
  <c r="K93" i="2" s="1"/>
  <c r="F92" i="2"/>
  <c r="Q91" i="2"/>
  <c r="G89" i="9" s="1"/>
  <c r="X91" i="2"/>
  <c r="V91" i="2" s="1"/>
  <c r="W91" i="2"/>
  <c r="V96" i="2"/>
  <c r="W96" i="2"/>
  <c r="G92" i="2" l="1"/>
  <c r="H92" i="2" s="1"/>
  <c r="F93" i="2"/>
  <c r="A94" i="2"/>
  <c r="G93" i="2" l="1"/>
  <c r="H93" i="2" s="1"/>
  <c r="AJ94" i="2"/>
  <c r="AK94" i="2" s="1"/>
  <c r="A95" i="2"/>
  <c r="P94" i="2"/>
  <c r="F94" i="2"/>
  <c r="W98" i="2"/>
  <c r="V98" i="2"/>
  <c r="K94" i="2" l="1"/>
  <c r="F92" i="9" s="1"/>
  <c r="G94" i="2"/>
  <c r="H94" i="2" s="1"/>
  <c r="Q94" i="2"/>
  <c r="G92" i="9" s="1"/>
  <c r="X94" i="2"/>
  <c r="V94" i="2" s="1"/>
  <c r="W94" i="2"/>
  <c r="A96" i="2"/>
  <c r="K96" i="2" s="1"/>
  <c r="AJ60" i="2"/>
  <c r="AK60" i="2" s="1"/>
  <c r="P95" i="2"/>
  <c r="F95" i="2"/>
  <c r="G95" i="2" l="1"/>
  <c r="H95" i="2" s="1"/>
  <c r="K95" i="2"/>
  <c r="Q95" i="2"/>
  <c r="G93" i="9" s="1"/>
  <c r="W95" i="2"/>
  <c r="P60" i="2"/>
  <c r="K60" i="2" s="1"/>
  <c r="AL60" i="2"/>
  <c r="AL95" i="2" s="1"/>
  <c r="V95" i="2" s="1"/>
  <c r="Q96" i="2"/>
  <c r="G94" i="9" s="1"/>
  <c r="F96" i="2"/>
  <c r="A97" i="2"/>
  <c r="G96" i="2" l="1"/>
  <c r="H96" i="2" s="1"/>
  <c r="A98" i="2"/>
  <c r="K98" i="2" s="1"/>
  <c r="P97" i="2"/>
  <c r="F97" i="2"/>
  <c r="AJ97" i="2"/>
  <c r="AK97" i="2" s="1"/>
  <c r="Q60" i="2"/>
  <c r="G58" i="9" s="1"/>
  <c r="W60" i="2"/>
  <c r="V60" i="2"/>
  <c r="V102" i="2"/>
  <c r="W102" i="2"/>
  <c r="K97" i="2" l="1"/>
  <c r="F95" i="9" s="1"/>
  <c r="G97" i="2"/>
  <c r="H97" i="2" s="1"/>
  <c r="W97" i="2"/>
  <c r="X97" i="2"/>
  <c r="V97" i="2" s="1"/>
  <c r="Q98" i="2"/>
  <c r="G96" i="9" s="1"/>
  <c r="A99" i="2"/>
  <c r="F98" i="2"/>
  <c r="G98" i="2" l="1"/>
  <c r="H98" i="2" s="1"/>
  <c r="A100" i="2"/>
  <c r="P99" i="2"/>
  <c r="AJ99" i="2"/>
  <c r="AK99" i="2" s="1"/>
  <c r="F99" i="2"/>
  <c r="K99" i="2" l="1"/>
  <c r="F97" i="9" s="1"/>
  <c r="G99" i="2"/>
  <c r="H99" i="2" s="1"/>
  <c r="X99" i="2"/>
  <c r="V99" i="2" s="1"/>
  <c r="W99" i="2"/>
  <c r="P100" i="2"/>
  <c r="K100" i="2" s="1"/>
  <c r="F98" i="9" s="1"/>
  <c r="F100" i="2"/>
  <c r="K102" i="2"/>
  <c r="G100" i="2" l="1"/>
  <c r="H100" i="2" s="1"/>
  <c r="F102" i="2"/>
  <c r="A103" i="2"/>
  <c r="Q100" i="2"/>
  <c r="G98" i="9" s="1"/>
  <c r="X100" i="2"/>
  <c r="V100" i="2" s="1"/>
  <c r="W100" i="2"/>
  <c r="G102" i="2" l="1"/>
  <c r="H102" i="2" s="1"/>
  <c r="P103" i="2"/>
  <c r="K103" i="2" s="1"/>
  <c r="F103" i="2"/>
  <c r="A104" i="2"/>
  <c r="AJ61" i="2"/>
  <c r="AK61" i="2" s="1"/>
  <c r="G103" i="2" l="1"/>
  <c r="H103" i="2" s="1"/>
  <c r="Q103" i="2"/>
  <c r="G101" i="9" s="1"/>
  <c r="W103" i="2"/>
  <c r="P61" i="2"/>
  <c r="K61" i="2" s="1"/>
  <c r="AL61" i="2"/>
  <c r="AL103" i="2" s="1"/>
  <c r="V103" i="2" s="1"/>
  <c r="A105" i="2"/>
  <c r="P104" i="2"/>
  <c r="K104" i="2" s="1"/>
  <c r="F104" i="2"/>
  <c r="AJ62" i="2"/>
  <c r="AK62" i="2" s="1"/>
  <c r="G104" i="2" l="1"/>
  <c r="H104" i="2" s="1"/>
  <c r="P62" i="2"/>
  <c r="K62" i="2" s="1"/>
  <c r="AL62" i="2"/>
  <c r="AL104" i="2" s="1"/>
  <c r="V104" i="2" s="1"/>
  <c r="Q104" i="2"/>
  <c r="G102" i="9" s="1"/>
  <c r="W104" i="2"/>
  <c r="A106" i="2"/>
  <c r="AJ105" i="2"/>
  <c r="AK105" i="2" s="1"/>
  <c r="P105" i="2"/>
  <c r="F105" i="2"/>
  <c r="W61" i="2"/>
  <c r="V61" i="2"/>
  <c r="Q61" i="2"/>
  <c r="G59" i="9" s="1"/>
  <c r="K105" i="2" l="1"/>
  <c r="F103" i="9" s="1"/>
  <c r="G105" i="2"/>
  <c r="H105" i="2" s="1"/>
  <c r="F106" i="2"/>
  <c r="A107" i="2"/>
  <c r="AJ63" i="2"/>
  <c r="AK63" i="2" s="1"/>
  <c r="P106" i="2"/>
  <c r="Q105" i="2"/>
  <c r="G103" i="9" s="1"/>
  <c r="W105" i="2"/>
  <c r="X105" i="2"/>
  <c r="V105" i="2" s="1"/>
  <c r="W62" i="2"/>
  <c r="Q62" i="2"/>
  <c r="G60" i="9" s="1"/>
  <c r="V62" i="2"/>
  <c r="G106" i="2" l="1"/>
  <c r="H106" i="2" s="1"/>
  <c r="K106" i="2"/>
  <c r="AL63" i="2"/>
  <c r="AL106" i="2" s="1"/>
  <c r="V106" i="2" s="1"/>
  <c r="P63" i="2"/>
  <c r="K63" i="2" s="1"/>
  <c r="Q106" i="2"/>
  <c r="G104" i="9" s="1"/>
  <c r="W106" i="2"/>
  <c r="AJ107" i="2"/>
  <c r="AK107" i="2" s="1"/>
  <c r="P107" i="2"/>
  <c r="K107" i="2" s="1"/>
  <c r="F105" i="9" s="1"/>
  <c r="F107" i="2"/>
  <c r="A108" i="2"/>
  <c r="G107" i="2" l="1"/>
  <c r="H107" i="2" s="1"/>
  <c r="AJ64" i="2"/>
  <c r="AK64" i="2" s="1"/>
  <c r="A109" i="2"/>
  <c r="P108" i="2"/>
  <c r="F108" i="2"/>
  <c r="W63" i="2"/>
  <c r="Q63" i="2"/>
  <c r="G61" i="9" s="1"/>
  <c r="V63" i="2"/>
  <c r="Q107" i="2"/>
  <c r="G105" i="9" s="1"/>
  <c r="X107" i="2"/>
  <c r="V107" i="2" s="1"/>
  <c r="W107" i="2"/>
  <c r="G108" i="2" l="1"/>
  <c r="H108" i="2" s="1"/>
  <c r="K108" i="2"/>
  <c r="Q108" i="2"/>
  <c r="G106" i="9" s="1"/>
  <c r="W108" i="2"/>
  <c r="A110" i="2"/>
  <c r="K110" i="2" s="1"/>
  <c r="P109" i="2"/>
  <c r="F109" i="2"/>
  <c r="AJ109" i="2"/>
  <c r="AK109" i="2" s="1"/>
  <c r="AL64" i="2"/>
  <c r="AL108" i="2" s="1"/>
  <c r="V108" i="2" s="1"/>
  <c r="P64" i="2"/>
  <c r="K64" i="2" s="1"/>
  <c r="K109" i="2" l="1"/>
  <c r="F107" i="9" s="1"/>
  <c r="G109" i="2"/>
  <c r="H109" i="2" s="1"/>
  <c r="P58" i="2"/>
  <c r="K58" i="2" s="1"/>
  <c r="Q109" i="2"/>
  <c r="G107" i="9" s="1"/>
  <c r="W109" i="2"/>
  <c r="X109" i="2"/>
  <c r="V109" i="2" s="1"/>
  <c r="F110" i="2"/>
  <c r="A111" i="2"/>
  <c r="Q64" i="2"/>
  <c r="G62" i="9" s="1"/>
  <c r="W64" i="2"/>
  <c r="V64" i="2"/>
  <c r="AM58" i="2"/>
  <c r="G110" i="2" l="1"/>
  <c r="H110" i="2" s="1"/>
  <c r="Q58" i="2"/>
  <c r="G56" i="9" s="1"/>
  <c r="P111" i="2"/>
  <c r="K111" i="2" s="1"/>
  <c r="F109" i="9" s="1"/>
  <c r="A112" i="2"/>
  <c r="AJ74" i="2"/>
  <c r="AK74" i="2" s="1"/>
  <c r="P74" i="2" s="1"/>
  <c r="K74" i="2" s="1"/>
  <c r="F111" i="2"/>
  <c r="V58" i="2"/>
  <c r="W58" i="2"/>
  <c r="G111" i="2" l="1"/>
  <c r="H111" i="2" s="1"/>
  <c r="W74" i="2"/>
  <c r="Q74" i="2"/>
  <c r="G72" i="9" s="1"/>
  <c r="V74" i="2"/>
  <c r="AJ75" i="2"/>
  <c r="AK75" i="2" s="1"/>
  <c r="A113" i="2"/>
  <c r="P112" i="2"/>
  <c r="K112" i="2" s="1"/>
  <c r="F112" i="2"/>
  <c r="W111" i="2"/>
  <c r="Q111" i="2"/>
  <c r="G109" i="9" s="1"/>
  <c r="X111" i="2"/>
  <c r="V111" i="2" s="1"/>
  <c r="G112" i="2" l="1"/>
  <c r="H112" i="2" s="1"/>
  <c r="AL75" i="2"/>
  <c r="AL112" i="2" s="1"/>
  <c r="V112" i="2" s="1"/>
  <c r="K75" i="2"/>
  <c r="F73" i="9" s="1"/>
  <c r="W112" i="2"/>
  <c r="Q112" i="2"/>
  <c r="G110" i="9" s="1"/>
  <c r="AJ76" i="2"/>
  <c r="AK76" i="2" s="1"/>
  <c r="P76" i="2" s="1"/>
  <c r="K76" i="2" s="1"/>
  <c r="P113" i="2"/>
  <c r="K113" i="2" s="1"/>
  <c r="F111" i="9" s="1"/>
  <c r="F113" i="2"/>
  <c r="A114" i="2"/>
  <c r="G113" i="2" l="1"/>
  <c r="H113" i="2" s="1"/>
  <c r="X113" i="2"/>
  <c r="V113" i="2" s="1"/>
  <c r="W113" i="2"/>
  <c r="Q113" i="2"/>
  <c r="G111" i="9" s="1"/>
  <c r="A115" i="2"/>
  <c r="AJ77" i="2"/>
  <c r="AK77" i="2" s="1"/>
  <c r="P114" i="2"/>
  <c r="F114" i="2"/>
  <c r="W76" i="2"/>
  <c r="V76" i="2"/>
  <c r="Q76" i="2"/>
  <c r="G74" i="9" s="1"/>
  <c r="V118" i="2"/>
  <c r="W118" i="2"/>
  <c r="G114" i="2" l="1"/>
  <c r="H114" i="2" s="1"/>
  <c r="AL77" i="2"/>
  <c r="AL114" i="2" s="1"/>
  <c r="V114" i="2" s="1"/>
  <c r="K77" i="2"/>
  <c r="F75" i="9" s="1"/>
  <c r="K114" i="2"/>
  <c r="P115" i="2"/>
  <c r="K115" i="2" s="1"/>
  <c r="F113" i="9" s="1"/>
  <c r="F115" i="2"/>
  <c r="A116" i="2"/>
  <c r="AJ78" i="2"/>
  <c r="AK78" i="2" s="1"/>
  <c r="P78" i="2" s="1"/>
  <c r="K78" i="2" s="1"/>
  <c r="Q114" i="2"/>
  <c r="G112" i="9" s="1"/>
  <c r="W114" i="2"/>
  <c r="G115" i="2" l="1"/>
  <c r="H115" i="2" s="1"/>
  <c r="Q78" i="2"/>
  <c r="G76" i="9" s="1"/>
  <c r="W78" i="2"/>
  <c r="V78" i="2"/>
  <c r="AM73" i="2"/>
  <c r="P73" i="2" s="1"/>
  <c r="K73" i="2" s="1"/>
  <c r="F71" i="9" s="1"/>
  <c r="P116" i="2"/>
  <c r="K116" i="2" s="1"/>
  <c r="F116" i="2"/>
  <c r="AJ79" i="2"/>
  <c r="AK79" i="2" s="1"/>
  <c r="A117" i="2"/>
  <c r="Q115" i="2"/>
  <c r="G113" i="9" s="1"/>
  <c r="X115" i="2"/>
  <c r="V115" i="2" s="1"/>
  <c r="W115" i="2"/>
  <c r="G116" i="2" l="1"/>
  <c r="H116" i="2" s="1"/>
  <c r="AL79" i="2"/>
  <c r="AL116" i="2" s="1"/>
  <c r="V116" i="2" s="1"/>
  <c r="K79" i="2"/>
  <c r="F77" i="9" s="1"/>
  <c r="Q73" i="2"/>
  <c r="G71" i="9" s="1"/>
  <c r="F117" i="2"/>
  <c r="P117" i="2"/>
  <c r="A118" i="2"/>
  <c r="K118" i="2" s="1"/>
  <c r="AJ117" i="2"/>
  <c r="AK117" i="2" s="1"/>
  <c r="W116" i="2"/>
  <c r="Q116" i="2"/>
  <c r="G114" i="9" s="1"/>
  <c r="X73" i="2"/>
  <c r="V73" i="2" s="1"/>
  <c r="W73" i="2"/>
  <c r="K117" i="2" l="1"/>
  <c r="F115" i="9" s="1"/>
  <c r="G117" i="2"/>
  <c r="H117" i="2" s="1"/>
  <c r="A119" i="2"/>
  <c r="F118" i="2"/>
  <c r="W117" i="2"/>
  <c r="X117" i="2"/>
  <c r="V117" i="2" s="1"/>
  <c r="Q117" i="2"/>
  <c r="G115" i="9" s="1"/>
  <c r="G118" i="2" l="1"/>
  <c r="H118" i="2" s="1"/>
  <c r="F119" i="2"/>
  <c r="P119" i="2"/>
  <c r="AJ119" i="2"/>
  <c r="AK119" i="2" s="1"/>
  <c r="A120" i="2"/>
  <c r="W122" i="2"/>
  <c r="V122" i="2"/>
  <c r="G119" i="2" l="1"/>
  <c r="H119" i="2" s="1"/>
  <c r="K119" i="2"/>
  <c r="F117" i="9" s="1"/>
  <c r="F120" i="2"/>
  <c r="AJ120" i="2"/>
  <c r="AK120" i="2" s="1"/>
  <c r="A121" i="2"/>
  <c r="P120" i="2"/>
  <c r="K120" i="2" s="1"/>
  <c r="F118" i="9" s="1"/>
  <c r="P121" i="2"/>
  <c r="Q119" i="2"/>
  <c r="G117" i="9" s="1"/>
  <c r="W119" i="2"/>
  <c r="X119" i="2"/>
  <c r="V119" i="2" s="1"/>
  <c r="G120" i="2" l="1"/>
  <c r="H120" i="2" s="1"/>
  <c r="K121" i="2"/>
  <c r="F119" i="9" s="1"/>
  <c r="Q120" i="2"/>
  <c r="G118" i="9" s="1"/>
  <c r="W120" i="2"/>
  <c r="X120" i="2"/>
  <c r="V120" i="2" s="1"/>
  <c r="Q121" i="2"/>
  <c r="G119" i="9" s="1"/>
  <c r="X121" i="2"/>
  <c r="V121" i="2" s="1"/>
  <c r="W121" i="2"/>
  <c r="A122" i="2"/>
  <c r="K122" i="2" s="1"/>
  <c r="F121" i="2"/>
  <c r="G121" i="2" l="1"/>
  <c r="H121" i="2" s="1"/>
  <c r="A123" i="2"/>
  <c r="K123" i="2" s="1"/>
  <c r="F122" i="2"/>
  <c r="G122" i="2" l="1"/>
  <c r="H122" i="2" s="1"/>
  <c r="F123" i="2"/>
  <c r="A124" i="2"/>
  <c r="K124" i="2" s="1"/>
  <c r="G123" i="2" l="1"/>
  <c r="H123" i="2" s="1"/>
  <c r="F124" i="2"/>
  <c r="G124" i="2" s="1"/>
  <c r="H124" i="2" s="1"/>
  <c r="A126" i="2" l="1"/>
  <c r="K126" i="2" s="1"/>
  <c r="F126" i="2" l="1"/>
  <c r="G126" i="2" s="1"/>
  <c r="H126" i="2" s="1"/>
  <c r="A128" i="2" l="1"/>
  <c r="K128" i="2" s="1"/>
  <c r="F128" i="2" l="1"/>
  <c r="G128" i="2" s="1"/>
  <c r="H128" i="2" s="1"/>
  <c r="A129" i="2"/>
  <c r="K129" i="2" s="1"/>
  <c r="A130" i="2" l="1"/>
  <c r="K130" i="2" s="1"/>
  <c r="F129" i="2"/>
  <c r="G129" i="2" s="1"/>
  <c r="H129" i="2" s="1"/>
  <c r="F130" i="2" l="1"/>
  <c r="G130" i="2" s="1"/>
  <c r="H130" i="2" s="1"/>
  <c r="A131" i="2"/>
  <c r="K131" i="2" s="1"/>
  <c r="F131" i="2" l="1"/>
  <c r="G131" i="2" s="1"/>
  <c r="H131" i="2" s="1"/>
  <c r="A132" i="2"/>
  <c r="K132" i="2" s="1"/>
  <c r="F132" i="2" l="1"/>
  <c r="G132" i="2" s="1"/>
  <c r="H132" i="2" s="1"/>
  <c r="A133" i="2"/>
  <c r="K133" i="2" s="1"/>
  <c r="F133" i="2" l="1"/>
  <c r="G133" i="2" s="1"/>
  <c r="H133" i="2" s="1"/>
  <c r="A134" i="2"/>
  <c r="K134" i="2" s="1"/>
  <c r="F134" i="2" l="1"/>
  <c r="G134" i="2" s="1"/>
  <c r="H134" i="2" s="1"/>
  <c r="A135" i="2"/>
  <c r="K135" i="2" s="1"/>
  <c r="F135" i="2" l="1"/>
  <c r="G135" i="2" s="1"/>
  <c r="H135" i="2" s="1"/>
  <c r="A136" i="2"/>
  <c r="K136" i="2" s="1"/>
  <c r="F136" i="2" l="1"/>
  <c r="G136" i="2" s="1"/>
  <c r="H136" i="2" s="1"/>
  <c r="A137" i="2"/>
  <c r="K137" i="2" s="1"/>
  <c r="A138" i="2" l="1"/>
  <c r="K138" i="2" s="1"/>
  <c r="F137" i="2"/>
  <c r="G137" i="2" s="1"/>
  <c r="H137" i="2" s="1"/>
  <c r="A139" i="2" l="1"/>
  <c r="K139" i="2" s="1"/>
  <c r="F138" i="2"/>
  <c r="G138" i="2" s="1"/>
  <c r="H138" i="2" s="1"/>
  <c r="A140" i="2" l="1"/>
  <c r="K140" i="2" s="1"/>
  <c r="F139" i="2"/>
  <c r="G139" i="2" s="1"/>
  <c r="H139" i="2" s="1"/>
  <c r="A141" i="2" l="1"/>
  <c r="K141" i="2" s="1"/>
  <c r="F140" i="2"/>
  <c r="G140" i="2" s="1"/>
  <c r="H140" i="2" s="1"/>
  <c r="F141" i="2" l="1"/>
  <c r="G141" i="2" s="1"/>
  <c r="H141"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<sst xmlns="http://schemas.openxmlformats.org/spreadsheetml/2006/main" count="1450" uniqueCount="568">
  <si>
    <t>info</t>
  </si>
  <si>
    <t>canonical</t>
  </si>
  <si>
    <t>payload</t>
  </si>
  <si>
    <t>channels</t>
  </si>
  <si>
    <t>dialogue</t>
  </si>
  <si>
    <t>animate</t>
  </si>
  <si>
    <t>azure</t>
  </si>
  <si>
    <t>emotion</t>
  </si>
  <si>
    <t>sgcom</t>
  </si>
  <si>
    <t>turn</t>
  </si>
  <si>
    <t>mood #</t>
  </si>
  <si>
    <t>cue_type</t>
  </si>
  <si>
    <t>fake_screens</t>
  </si>
  <si>
    <t>description</t>
  </si>
  <si>
    <t>observe_command_override</t>
  </si>
  <si>
    <t>observe_command_formula</t>
  </si>
  <si>
    <t>observe_json</t>
  </si>
  <si>
    <t>td_command</t>
  </si>
  <si>
    <t>td_template</t>
  </si>
  <si>
    <t>td_json</t>
  </si>
  <si>
    <t>bot_command_override</t>
  </si>
  <si>
    <t>bot_command_formula</t>
  </si>
  <si>
    <t>bot_template</t>
  </si>
  <si>
    <t>bot_json</t>
  </si>
  <si>
    <t>meat_json_construct</t>
  </si>
  <si>
    <t>meat_json_fire</t>
  </si>
  <si>
    <t>transition_trigger_override</t>
  </si>
  <si>
    <t>transition_trigger</t>
  </si>
  <si>
    <t>transition_json</t>
  </si>
  <si>
    <t>do</t>
  </si>
  <si>
    <t>sh npm</t>
  </si>
  <si>
    <t>sh sosc</t>
  </si>
  <si>
    <t>json esc_alt</t>
  </si>
  <si>
    <t>meat</t>
  </si>
  <si>
    <t>meat_channel</t>
  </si>
  <si>
    <t>av_channel</t>
  </si>
  <si>
    <t>td_channel</t>
  </si>
  <si>
    <t>bw_channel</t>
  </si>
  <si>
    <t>role</t>
  </si>
  <si>
    <t>text</t>
  </si>
  <si>
    <t>instruction</t>
  </si>
  <si>
    <t>name</t>
  </si>
  <si>
    <t>voice</t>
  </si>
  <si>
    <t>id</t>
  </si>
  <si>
    <t>filename</t>
  </si>
  <si>
    <t>path</t>
  </si>
  <si>
    <t>fake_cuesheet</t>
  </si>
  <si>
    <t>en</t>
  </si>
  <si>
    <t>de</t>
  </si>
  <si>
    <t>expressions</t>
  </si>
  <si>
    <t>expression_1</t>
  </si>
  <si>
    <t>expression</t>
  </si>
  <si>
    <t>start_frame</t>
  </si>
  <si>
    <t>intensity</t>
  </si>
  <si>
    <t>expression_2</t>
  </si>
  <si>
    <t>expression_3</t>
  </si>
  <si>
    <t>gpt_emotion</t>
  </si>
  <si>
    <t>gpt_tone</t>
  </si>
  <si>
    <t>pre</t>
  </si>
  <si>
    <t>post</t>
  </si>
  <si>
    <t>next_state</t>
  </si>
  <si>
    <t>fix</t>
  </si>
  <si>
    <t>style</t>
  </si>
  <si>
    <t>degree</t>
  </si>
  <si>
    <t>pause</t>
  </si>
  <si>
    <t>pitch</t>
  </si>
  <si>
    <t>rate</t>
  </si>
  <si>
    <t>volume</t>
  </si>
  <si>
    <t>sadness</t>
  </si>
  <si>
    <t>joy</t>
  </si>
  <si>
    <t>fear</t>
  </si>
  <si>
    <t>disgust</t>
  </si>
  <si>
    <t>anger</t>
  </si>
  <si>
    <t>mood</t>
  </si>
  <si>
    <t>scale</t>
  </si>
  <si>
    <t>sound / light / monitors: spa-style</t>
  </si>
  <si>
    <t>reset</t>
  </si>
  <si>
    <t/>
  </si>
  <si>
    <t>_comment</t>
  </si>
  <si>
    <t>wait until user enters room</t>
  </si>
  <si>
    <t>sound</t>
  </si>
  <si>
    <t>tell user to have a seat</t>
  </si>
  <si>
    <t>clerk</t>
  </si>
  <si>
    <t xml:space="preserve">Welcome. Please have a seat. The doctor will be right with you. </t>
  </si>
  <si>
    <t>welcome</t>
  </si>
  <si>
    <t>observe</t>
  </si>
  <si>
    <t>cv: wait until user sits down</t>
  </si>
  <si>
    <t>user_sitsdown</t>
  </si>
  <si>
    <t>cue for assistant</t>
  </si>
  <si>
    <t>screens change to monochrome; music fades out; lights for image taking</t>
  </si>
  <si>
    <t>start-capture-image</t>
  </si>
  <si>
    <t>cue_assistant</t>
  </si>
  <si>
    <t>assistant enters and pulls curtain</t>
  </si>
  <si>
    <t>beamer on (start projection)</t>
  </si>
  <si>
    <t>cv: grab good still foto</t>
  </si>
  <si>
    <t>cv: detect &amp; store eye color</t>
  </si>
  <si>
    <t>cv: detect &amp; store shirt/sweater info</t>
  </si>
  <si>
    <t>cv: detect &amp; store hair/hat style</t>
  </si>
  <si>
    <t>main lights</t>
  </si>
  <si>
    <t>stop-capture-image</t>
  </si>
  <si>
    <t>speak</t>
  </si>
  <si>
    <t>mask talks</t>
  </si>
  <si>
    <t>x</t>
  </si>
  <si>
    <t>mask</t>
  </si>
  <si>
    <t>Its good to see you again. How have you been?</t>
  </si>
  <si>
    <t>how_have_you_been</t>
  </si>
  <si>
    <t>Default</t>
  </si>
  <si>
    <t>0.5</t>
  </si>
  <si>
    <t>positive</t>
  </si>
  <si>
    <t>listen</t>
  </si>
  <si>
    <t>user talks</t>
  </si>
  <si>
    <t>Okay. Kind of.</t>
  </si>
  <si>
    <t>Something is bothering you. What is it.</t>
  </si>
  <si>
    <t>something_bothering</t>
  </si>
  <si>
    <t>Sad</t>
  </si>
  <si>
    <t>0.3</t>
  </si>
  <si>
    <t>0.2</t>
  </si>
  <si>
    <t>neutral</t>
  </si>
  <si>
    <t>You can tell [prosody pitch=-20]me[/prosody].</t>
  </si>
  <si>
    <t>you_can_tell_me</t>
  </si>
  <si>
    <t>Whispering</t>
  </si>
  <si>
    <t>I had a stressful week at work.</t>
  </si>
  <si>
    <t>maketext</t>
  </si>
  <si>
    <t>make answer</t>
  </si>
  <si>
    <t>reply to user</t>
  </si>
  <si>
    <t>Go Deeper</t>
  </si>
  <si>
    <t>speak_gpt</t>
  </si>
  <si>
    <t>speak answer</t>
  </si>
  <si>
    <t>What made it stressful for you?</t>
  </si>
  <si>
    <t>inquiry 01</t>
  </si>
  <si>
    <t>Friendly</t>
  </si>
  <si>
    <t>0.8</t>
  </si>
  <si>
    <t xml:space="preserve">My boss is under a lot of pressure, and he passes that pressure on to me. </t>
  </si>
  <si>
    <t>You should stand up for yourself and demand better treatment!</t>
  </si>
  <si>
    <t>inquiry 02</t>
  </si>
  <si>
    <t>get users posture/gesture</t>
  </si>
  <si>
    <t>Yes. Thank you.</t>
  </si>
  <si>
    <t>hallucinate</t>
  </si>
  <si>
    <t>generate gaslight text</t>
  </si>
  <si>
    <t>reply to user with posture observed</t>
  </si>
  <si>
    <t>But why do you keep shaking your head?</t>
  </si>
  <si>
    <t>inquiry 03</t>
  </si>
  <si>
    <t>I don’t know.</t>
  </si>
  <si>
    <t>[break=0] [prosody pitch=-15 rate=-10]okay[/prosody]. Did you bring your diary with you?</t>
  </si>
  <si>
    <t>did_you_bring_diary</t>
  </si>
  <si>
    <t>Excited</t>
  </si>
  <si>
    <t>What diary?</t>
  </si>
  <si>
    <t>Your [prosody pitch=30 rate=-20] dream [/prosody] diary. We discussed this last time. [prosody rate=-15] Dont you [prosody pitch=8]remember[/prosody][/prosody]?</t>
  </si>
  <si>
    <t>we_discussed_this</t>
  </si>
  <si>
    <t>Hopeful</t>
  </si>
  <si>
    <t>Not really</t>
  </si>
  <si>
    <t>Then tell me about a recent dream you had.</t>
  </si>
  <si>
    <t>recent_dream</t>
  </si>
  <si>
    <t>eyeroll</t>
  </si>
  <si>
    <t>Unfriendly</t>
  </si>
  <si>
    <t>I have had a dream about my mother.</t>
  </si>
  <si>
    <t xml:space="preserve">Thank you. That was beautiful. </t>
  </si>
  <si>
    <t>beautiful</t>
  </si>
  <si>
    <t>Cheerful</t>
  </si>
  <si>
    <t>0.6</t>
  </si>
  <si>
    <t>You are welcome.</t>
  </si>
  <si>
    <t>How did that dream make you feel?</t>
  </si>
  <si>
    <t>make_you_feel</t>
  </si>
  <si>
    <t>Ok, I guess.</t>
  </si>
  <si>
    <t>Did you have that dream before?</t>
  </si>
  <si>
    <t>-1</t>
  </si>
  <si>
    <t>No, I don't think so.</t>
  </si>
  <si>
    <t>What do you think that dream meant?</t>
  </si>
  <si>
    <t>I don't know.</t>
  </si>
  <si>
    <t>I have prepared a text for you to read. Would you like to do that?</t>
  </si>
  <si>
    <t>prepared_a_text</t>
  </si>
  <si>
    <t>Sure.</t>
  </si>
  <si>
    <t>Then please: [break=200] Look under the cleenex box.</t>
  </si>
  <si>
    <t>look_under_the_box</t>
  </si>
  <si>
    <t>light: spot on cleenex box</t>
  </si>
  <si>
    <t>cv: wait until user takes paper</t>
  </si>
  <si>
    <t>probably manually detected</t>
  </si>
  <si>
    <t>Go on. Please read it to me.</t>
  </si>
  <si>
    <t>read_it</t>
  </si>
  <si>
    <t>The unconscious is like a hidden storage room</t>
  </si>
  <si>
    <t>fakemake</t>
  </si>
  <si>
    <t>TD: train voice from audio recordings / make videos (including from azure voice)</t>
  </si>
  <si>
    <t>_deepfake_data</t>
  </si>
  <si>
    <t>generate &amp; store audio/video</t>
  </si>
  <si>
    <t>hallucination</t>
  </si>
  <si>
    <t>Sometimes, I imagine myself breaking into my boss's office and destroying everything inside. Then, I picture myself slashing his tires and smashing the windows of his car.</t>
  </si>
  <si>
    <t>Manchmal stelle ich mir vor, wie ich in das Büro meines Chefs einbreche und alles darin zerstöre. Dann stelle ich mir vor, wie ich seine Reifen aufschlitze und die Scheiben seines Autos einwerfe.</t>
  </si>
  <si>
    <t>serious</t>
  </si>
  <si>
    <t>dont_interrupt</t>
  </si>
  <si>
    <t>Don't interrupt us when we're talking to you!</t>
  </si>
  <si>
    <t>Halt' den Mund und hör uns gut zu!</t>
  </si>
  <si>
    <t>happy</t>
  </si>
  <si>
    <t>we_should_listen</t>
  </si>
  <si>
    <t>We should listen to him.</t>
  </si>
  <si>
    <t xml:space="preserve">Wir sollten auf ihn hören. </t>
  </si>
  <si>
    <t>he_wants_us_to</t>
  </si>
  <si>
    <t xml:space="preserve"> He just wants us to succeed!</t>
  </si>
  <si>
    <t>Er will nur unser Bestes.</t>
  </si>
  <si>
    <t>surprise</t>
  </si>
  <si>
    <t>your_life_would_be</t>
  </si>
  <si>
    <t>And your life would be so much better if you just did as you’re told.</t>
  </si>
  <si>
    <t>Und Dein Leben wäre so viel einfacher, wenn Du einfach nur tun würdest, was Dir gesagt wird</t>
  </si>
  <si>
    <t>i_dont_think</t>
  </si>
  <si>
    <t xml:space="preserve">I don’t think he has. </t>
  </si>
  <si>
    <t>Da glaub' ich nicht dran.</t>
  </si>
  <si>
    <t xml:space="preserve">Do you sometimes feel like a puppet yourself? </t>
  </si>
  <si>
    <t>puppet</t>
  </si>
  <si>
    <t>I don’t know what you mean.</t>
  </si>
  <si>
    <t>Interesting. Are there thoughts and feelings in your live that you try to avoid because they [prosody pitch=-15 rate=-10]hurt[/prosody] you?</t>
  </si>
  <si>
    <t>avoid</t>
  </si>
  <si>
    <t>Maybe.</t>
  </si>
  <si>
    <t>Ok. Let me think…</t>
  </si>
  <si>
    <t>faketomask</t>
  </si>
  <si>
    <t>Laptop: make audio from trained voice for mask</t>
  </si>
  <si>
    <t>_mask_screenvoice</t>
  </si>
  <si>
    <t>generate &amp; store audio</t>
  </si>
  <si>
    <t>doesnt_matter</t>
  </si>
  <si>
    <t>It doesn't really matter.</t>
  </si>
  <si>
    <t>Es ist ja egal.</t>
  </si>
  <si>
    <t>_screen_azurevoice</t>
  </si>
  <si>
    <t>never_mattered</t>
  </si>
  <si>
    <t>You never really mattered</t>
  </si>
  <si>
    <t>Du warst schon immer egal.</t>
  </si>
  <si>
    <t>what_matters</t>
  </si>
  <si>
    <t xml:space="preserve">What matters is that we’re here with you now. So you don’t have to be. </t>
  </si>
  <si>
    <t>Was zählt ist, dass wir hier sind mit Dir. Damit Du gehen kannst.</t>
  </si>
  <si>
    <t>how_wonderful</t>
  </si>
  <si>
    <t>How wonderful is this?</t>
  </si>
  <si>
    <t>Wie toll ist das denn?</t>
  </si>
  <si>
    <t>0.4</t>
  </si>
  <si>
    <t>In our last meeting, you mentioned that you often fantasize about destroying your bosses office and smashing his car as revenge for the way he treats you. Do these fantasies still consume your mind?</t>
  </si>
  <si>
    <t>fantasize</t>
  </si>
  <si>
    <t>I never said that!</t>
  </si>
  <si>
    <t>Of course you did! Let’s have a look:</t>
  </si>
  <si>
    <t>look</t>
  </si>
  <si>
    <t>music fades back in; light turns cold</t>
  </si>
  <si>
    <t>screen</t>
  </si>
  <si>
    <t>deepfake talks</t>
  </si>
  <si>
    <t>cv: wait until user turns back to mask</t>
  </si>
  <si>
    <t>user_faceaway</t>
  </si>
  <si>
    <t>Do you remember now?</t>
  </si>
  <si>
    <t>remember</t>
  </si>
  <si>
    <t>No way!</t>
  </si>
  <si>
    <t>You remind me of my mother. She has a very bad memory too.</t>
  </si>
  <si>
    <t>my_mother</t>
  </si>
  <si>
    <t>reply with a clothing instult</t>
  </si>
  <si>
    <t>Reply to the user with a pejorative observation about their clothing.</t>
  </si>
  <si>
    <t>And she always wears these terrible blue shirts.</t>
  </si>
  <si>
    <t>she_wears</t>
  </si>
  <si>
    <t>Just like [prosody pitch=50 rate=-50] you [/prosody][prosody pitch=-10]do[/prosody].</t>
  </si>
  <si>
    <t>like_you_do</t>
  </si>
  <si>
    <t>shirtcheck</t>
  </si>
  <si>
    <t>user_starts_speaking</t>
  </si>
  <si>
    <t>What are you trying to…</t>
  </si>
  <si>
    <t>wait</t>
  </si>
  <si>
    <t>wait one second</t>
  </si>
  <si>
    <t>Shouting</t>
  </si>
  <si>
    <t>1,2,3</t>
  </si>
  <si>
    <t>generate insult from conversation so far</t>
  </si>
  <si>
    <t>Insult the user, referring to their memory lapses and their fears.</t>
  </si>
  <si>
    <t xml:space="preserve">You come here to whine about your boss, and you can't even remember your own dreams! </t>
  </si>
  <si>
    <t>whine</t>
  </si>
  <si>
    <t>add personal property to answer</t>
  </si>
  <si>
    <t>Insult the user based on their nose, their hair or other aspects of their physical aappearance.</t>
  </si>
  <si>
    <t>Dry your droopy green eyes and get a grip on yourself!</t>
  </si>
  <si>
    <t>get_a_grip</t>
  </si>
  <si>
    <t>Like [prosody pitch=30 rate=-100]he [/prosody][prosody pitch=-10]does[/prosody].</t>
  </si>
  <si>
    <t>discoverfake</t>
  </si>
  <si>
    <t>Angry</t>
  </si>
  <si>
    <t>lights fade dark</t>
  </si>
  <si>
    <t>cv: wait until user has back to mask</t>
  </si>
  <si>
    <t>1</t>
  </si>
  <si>
    <t xml:space="preserve">We should listen to him. </t>
  </si>
  <si>
    <t>He just wants us to succeed.</t>
  </si>
  <si>
    <t>I do!</t>
  </si>
  <si>
    <t>i_do</t>
  </si>
  <si>
    <t>look_up</t>
  </si>
  <si>
    <t>I know you have it [prosody pitch=40 rate=-100] in [/prosody] you!</t>
  </si>
  <si>
    <t>i_know_you</t>
  </si>
  <si>
    <t>lookleftright</t>
  </si>
  <si>
    <t>What do -[prosody pitch=40 rate=-100] you [/prosody][prosody pitch=-10] think[/prosody]?</t>
  </si>
  <si>
    <t>what_do_you_think</t>
  </si>
  <si>
    <t>lookup</t>
  </si>
  <si>
    <t>I don’t really know what to say.</t>
  </si>
  <si>
    <t>play</t>
  </si>
  <si>
    <t>mask talks with deepfake voice</t>
  </si>
  <si>
    <t>deepfake talks (with mask voice)</t>
  </si>
  <si>
    <t>Is it not?</t>
  </si>
  <si>
    <t>is_it_not</t>
  </si>
  <si>
    <t>What the hell is this?</t>
  </si>
  <si>
    <t>You can [prosody pitch=5 rate=-5]go [/prosody][prosody pitch=-30]now [/prosody].</t>
  </si>
  <si>
    <t>you_can_go</t>
  </si>
  <si>
    <t>affectionate</t>
  </si>
  <si>
    <t>Goodbye.</t>
  </si>
  <si>
    <t>bye</t>
  </si>
  <si>
    <t>state</t>
  </si>
  <si>
    <t>fall asleep</t>
  </si>
  <si>
    <t>idle</t>
  </si>
  <si>
    <t>projector off, bright lights on</t>
  </si>
  <si>
    <t>reset to beginning</t>
  </si>
  <si>
    <t>FROM HERE LEFTOVERS - DO NOT USE</t>
  </si>
  <si>
    <t>elsa</t>
  </si>
  <si>
    <t>Doctor will be right there.</t>
  </si>
  <si>
    <t>normal</t>
  </si>
  <si>
    <t>0.1</t>
  </si>
  <si>
    <t>0.7</t>
  </si>
  <si>
    <t>0.9</t>
  </si>
  <si>
    <t>1.1</t>
  </si>
  <si>
    <t>1.2</t>
  </si>
  <si>
    <t>smile</t>
  </si>
  <si>
    <t>shorter</t>
  </si>
  <si>
    <t>joe</t>
  </si>
  <si>
    <t>I am neutral.</t>
  </si>
  <si>
    <t>I am expressive.</t>
  </si>
  <si>
    <t>expressive</t>
  </si>
  <si>
    <t>weary</t>
  </si>
  <si>
    <t>I am whispering.</t>
  </si>
  <si>
    <t>whisper</t>
  </si>
  <si>
    <t>I am shouting.</t>
  </si>
  <si>
    <t>shout</t>
  </si>
  <si>
    <t>left_look</t>
  </si>
  <si>
    <t>GOOD</t>
  </si>
  <si>
    <t>I am sad.</t>
  </si>
  <si>
    <t>sad</t>
  </si>
  <si>
    <t>I am joyful.</t>
  </si>
  <si>
    <t>I am afraid.</t>
  </si>
  <si>
    <t>I am disgusted.</t>
  </si>
  <si>
    <t>I am angry.</t>
  </si>
  <si>
    <t>Norbert is bored.</t>
  </si>
  <si>
    <t>how have you been</t>
  </si>
  <si>
    <t>bored</t>
  </si>
  <si>
    <t>√</t>
  </si>
  <si>
    <t>circle_look</t>
  </si>
  <si>
    <t>growl</t>
  </si>
  <si>
    <t>(lame)</t>
  </si>
  <si>
    <t>judge</t>
  </si>
  <si>
    <t>negative</t>
  </si>
  <si>
    <t>pounder</t>
  </si>
  <si>
    <t>noch kürzer</t>
  </si>
  <si>
    <t>scanning</t>
  </si>
  <si>
    <t>sceptic</t>
  </si>
  <si>
    <t>noch kürzer. Kürzerer fade?</t>
  </si>
  <si>
    <t>shrug</t>
  </si>
  <si>
    <t>SLOWER</t>
  </si>
  <si>
    <t>cue</t>
  </si>
  <si>
    <t>bot-command</t>
  </si>
  <si>
    <t>av</t>
  </si>
  <si>
    <t>td-command</t>
  </si>
  <si>
    <t>meat-command</t>
  </si>
  <si>
    <t>trigger</t>
  </si>
  <si>
    <t>cmd</t>
  </si>
  <si>
    <t>json</t>
  </si>
  <si>
    <t>{ "command": "hallucinate", "entity": "Eliza", "data" : null}</t>
  </si>
  <si>
    <t>mute</t>
  </si>
  <si>
    <t>{ "command": "mute", "entity": "Eliza", "data" : null}</t>
  </si>
  <si>
    <t>{ "command": "reset", "entity": "all", "data" : null}</t>
  </si>
  <si>
    <t>{ "command": "speak", "entity": "Eliza", "data" : { "text" : "%text"}}</t>
  </si>
  <si>
    <t>speak_deepfake</t>
  </si>
  <si>
    <t>{ "command": "speak", "entity": "deepfake", "data" : { "text" : "%text"}}</t>
  </si>
  <si>
    <t>unmute</t>
  </si>
  <si>
    <t>{ "command": "unmute", "entity": "Eliza", "data" : {"prompt" : "%prompt" }}</t>
  </si>
  <si>
    <t>{"command" : "makefake","id":%id,"data":%data}</t>
  </si>
  <si>
    <t>fakeplay</t>
  </si>
  <si>
    <t>{"command" : "playfake","id":%id,"screens":[%screens]}</t>
  </si>
  <si>
    <t>{"command" : "faketomask","data":%data}</t>
  </si>
  <si>
    <t>gaslight</t>
  </si>
  <si>
    <t>{"command" : "gaslight","data":%data}</t>
  </si>
  <si>
    <t>meatify</t>
  </si>
  <si>
    <t>{"command" : "meatify","data":%data}</t>
  </si>
  <si>
    <t>{"command" : "mood","id":%id,"mood_num":"%mood_num"}</t>
  </si>
  <si>
    <t>{"command" : "sound","id":%id,"sound_name":"%sound_name"}</t>
  </si>
  <si>
    <t>{"av-command": "stt-control", "data": {"listening": false}}</t>
  </si>
  <si>
    <t>set-av-de</t>
  </si>
  <si>
    <r>
      <rPr>
        <sz val="11"/>
        <color rgb="FFCCCCCC"/>
        <rFont val="Consolas"/>
        <family val="2"/>
      </rPr>
      <t>{</t>
    </r>
    <r>
      <rPr>
        <sz val="11"/>
        <color rgb="FF9CDCFE"/>
        <rFont val="Consolas"/>
        <family val="2"/>
      </rPr>
      <t>"av-command"</t>
    </r>
    <r>
      <rPr>
        <sz val="11"/>
        <color rgb="FFCCCCCC"/>
        <rFont val="Consolas"/>
        <family val="2"/>
      </rPr>
      <t xml:space="preserve">: </t>
    </r>
    <r>
      <rPr>
        <sz val="11"/>
        <color rgb="FFCE9178"/>
        <rFont val="Consolas"/>
        <family val="2"/>
      </rPr>
      <t>"stt-language"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"language_code"</t>
    </r>
    <r>
      <rPr>
        <sz val="11"/>
        <color rgb="FFCCCCCC"/>
        <rFont val="Consolas"/>
        <family val="2"/>
      </rPr>
      <t xml:space="preserve">: </t>
    </r>
    <r>
      <rPr>
        <sz val="11"/>
        <color rgb="FFCE9178"/>
        <rFont val="Consolas"/>
        <family val="2"/>
      </rPr>
      <t>"de-DE"</t>
    </r>
    <r>
      <rPr>
        <sz val="11"/>
        <color rgb="FFCCCCCC"/>
        <rFont val="Consolas"/>
        <family val="2"/>
      </rPr>
      <t>}}</t>
    </r>
  </si>
  <si>
    <t>set-av-en</t>
  </si>
  <si>
    <r>
      <rPr>
        <sz val="11"/>
        <color rgb="FFCCCCCC"/>
        <rFont val="Consolas"/>
        <family val="2"/>
      </rPr>
      <t>{</t>
    </r>
    <r>
      <rPr>
        <sz val="11"/>
        <color rgb="FF9CDCFE"/>
        <rFont val="Consolas"/>
        <family val="2"/>
      </rPr>
      <t>"av-command"</t>
    </r>
    <r>
      <rPr>
        <sz val="11"/>
        <color rgb="FFCCCCCC"/>
        <rFont val="Consolas"/>
        <family val="2"/>
      </rPr>
      <t xml:space="preserve">: </t>
    </r>
    <r>
      <rPr>
        <sz val="11"/>
        <color rgb="FFCE9178"/>
        <rFont val="Consolas"/>
        <family val="2"/>
      </rPr>
      <t>"stt-language"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"language_code"</t>
    </r>
    <r>
      <rPr>
        <sz val="11"/>
        <color rgb="FFCCCCCC"/>
        <rFont val="Consolas"/>
        <family val="2"/>
      </rPr>
      <t xml:space="preserve">: </t>
    </r>
    <r>
      <rPr>
        <sz val="11"/>
        <color rgb="FFCE9178"/>
        <rFont val="Consolas"/>
        <family val="2"/>
      </rPr>
      <t>"en-US"</t>
    </r>
    <r>
      <rPr>
        <sz val="11"/>
        <color rgb="FFCCCCCC"/>
        <rFont val="Consolas"/>
        <family val="2"/>
      </rPr>
      <t>}}</t>
    </r>
  </si>
  <si>
    <r>
      <rPr>
        <sz val="11"/>
        <color rgb="FFCCCCCC"/>
        <rFont val="Consolas"/>
        <family val="2"/>
      </rPr>
      <t>{</t>
    </r>
    <r>
      <rPr>
        <sz val="11"/>
        <color rgb="FF9CDCFE"/>
        <rFont val="Consolas"/>
        <family val="2"/>
      </rPr>
      <t>"av-command"</t>
    </r>
    <r>
      <rPr>
        <sz val="11"/>
        <color rgb="FFCCCCCC"/>
        <rFont val="Consolas"/>
        <family val="2"/>
      </rPr>
      <t xml:space="preserve">: </t>
    </r>
    <r>
      <rPr>
        <sz val="11"/>
        <color rgb="FFCE9178"/>
        <rFont val="Consolas"/>
        <family val="2"/>
      </rPr>
      <t>"vision-cam-capture"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"capture_image"</t>
    </r>
    <r>
      <rPr>
        <sz val="11"/>
        <color rgb="FFCCCCCC"/>
        <rFont val="Consolas"/>
        <family val="2"/>
      </rPr>
      <t>: true}}</t>
    </r>
  </si>
  <si>
    <r>
      <rPr>
        <sz val="11"/>
        <color rgb="FFCCCCCC"/>
        <rFont val="Consolas"/>
        <family val="2"/>
      </rPr>
      <t>{</t>
    </r>
    <r>
      <rPr>
        <sz val="11"/>
        <color rgb="FF9CDCFE"/>
        <rFont val="Consolas"/>
        <family val="2"/>
      </rPr>
      <t>"av-command"</t>
    </r>
    <r>
      <rPr>
        <sz val="11"/>
        <color rgb="FFCCCCCC"/>
        <rFont val="Consolas"/>
        <family val="2"/>
      </rPr>
      <t xml:space="preserve">: </t>
    </r>
    <r>
      <rPr>
        <sz val="11"/>
        <color rgb="FFCE9178"/>
        <rFont val="Consolas"/>
        <family val="2"/>
      </rPr>
      <t>"vision-cam-capture"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"capture_image"</t>
    </r>
    <r>
      <rPr>
        <sz val="11"/>
        <color rgb="FFCCCCCC"/>
        <rFont val="Consolas"/>
        <family val="2"/>
      </rPr>
      <t>: false}}</t>
    </r>
  </si>
  <si>
    <t>umute</t>
  </si>
  <si>
    <t>{"av-command": "stt-control", "data": {"listening": true}}</t>
  </si>
  <si>
    <t>user</t>
  </si>
  <si>
    <t>av /manual</t>
  </si>
  <si>
    <t>clone_spoke</t>
  </si>
  <si>
    <t>{"words-in" : { "entity" : "deepfake"} }</t>
  </si>
  <si>
    <t>clone</t>
  </si>
  <si>
    <t>td</t>
  </si>
  <si>
    <t>mask_generated</t>
  </si>
  <si>
    <t>{"words-out" : { "entity" : "Eliza"} }</t>
  </si>
  <si>
    <t>mask_spoke</t>
  </si>
  <si>
    <t>{"words-in" : { "entity" : "Eliza"} }</t>
  </si>
  <si>
    <t>user_enters</t>
  </si>
  <si>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"vision-visitor-enter"</t>
    </r>
    <r>
      <rPr>
        <sz val="11"/>
        <color rgb="FFCCCCCC"/>
        <rFont val="Consolas"/>
        <family val="2"/>
      </rPr>
      <t>}}</t>
    </r>
  </si>
  <si>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"vision-facing-cam-update"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"facing_camera"</t>
    </r>
    <r>
      <rPr>
        <sz val="11"/>
        <color rgb="FFCCCCCC"/>
        <rFont val="Consolas"/>
        <family val="2"/>
      </rPr>
      <t xml:space="preserve">: </t>
    </r>
    <r>
      <rPr>
        <sz val="11"/>
        <color rgb="FF569CD6"/>
        <rFont val="Consolas"/>
        <family val="2"/>
      </rPr>
      <t>false</t>
    </r>
    <r>
      <rPr>
        <sz val="11"/>
        <color rgb="FFCCCCCC"/>
        <rFont val="Consolas"/>
        <family val="2"/>
      </rPr>
      <t>}}}</t>
    </r>
  </si>
  <si>
    <t>user_facetowards</t>
  </si>
  <si>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"vision-facing-cam-update"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"facing_camera"</t>
    </r>
    <r>
      <rPr>
        <sz val="11"/>
        <color rgb="FFCCCCCC"/>
        <rFont val="Consolas"/>
        <family val="2"/>
      </rPr>
      <t xml:space="preserve">: </t>
    </r>
    <r>
      <rPr>
        <sz val="11"/>
        <color rgb="FF569CD6"/>
        <rFont val="Consolas"/>
        <family val="2"/>
      </rPr>
      <t>true</t>
    </r>
    <r>
      <rPr>
        <sz val="11"/>
        <color rgb="FFCCCCCC"/>
        <rFont val="Consolas"/>
        <family val="2"/>
      </rPr>
      <t>}}}</t>
    </r>
  </si>
  <si>
    <t>user_left</t>
  </si>
  <si>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"vision-visitor-left"</t>
    </r>
    <r>
      <rPr>
        <sz val="11"/>
        <color rgb="FFCCCCCC"/>
        <rFont val="Consolas"/>
        <family val="2"/>
      </rPr>
      <t>}}</t>
    </r>
  </si>
  <si>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"vision-pose-update"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"pose_state"</t>
    </r>
    <r>
      <rPr>
        <sz val="11"/>
        <color rgb="FFCCCCCC"/>
        <rFont val="Consolas"/>
        <family val="2"/>
      </rPr>
      <t xml:space="preserve">: </t>
    </r>
    <r>
      <rPr>
        <sz val="11"/>
        <color rgb="FFCE9178"/>
        <rFont val="Consolas"/>
        <family val="2"/>
      </rPr>
      <t>"Sitting"</t>
    </r>
    <r>
      <rPr>
        <sz val="11"/>
        <color rgb="FFCCCCCC"/>
        <rFont val="Consolas"/>
        <family val="2"/>
      </rPr>
      <t>}}}</t>
    </r>
  </si>
  <si>
    <t>ue</t>
  </si>
  <si>
    <t>user_spoke</t>
  </si>
  <si>
    <r>
      <rPr>
        <sz val="11"/>
        <color rgb="FFCCCCCC"/>
        <rFont val="Consolas"/>
        <family val="2"/>
      </rPr>
      <t>{</t>
    </r>
    <r>
      <rPr>
        <sz val="11"/>
        <color rgb="FF9CDCFE"/>
        <rFont val="Consolas"/>
        <family val="2"/>
      </rPr>
      <t>"words-in"</t>
    </r>
    <r>
      <rPr>
        <sz val="11"/>
        <color rgb="FFCCCCCC"/>
        <rFont val="Consolas"/>
        <family val="2"/>
      </rPr>
      <t xml:space="preserve"> : { </t>
    </r>
    <r>
      <rPr>
        <sz val="11"/>
        <color rgb="FF9CDCFE"/>
        <rFont val="Consolas"/>
        <family val="2"/>
      </rPr>
      <t>"entity"</t>
    </r>
    <r>
      <rPr>
        <sz val="11"/>
        <color rgb="FFCCCCCC"/>
        <rFont val="Consolas"/>
        <family val="2"/>
      </rPr>
      <t xml:space="preserve"> : </t>
    </r>
    <r>
      <rPr>
        <sz val="11"/>
        <color rgb="FFCE9178"/>
        <rFont val="Consolas"/>
        <family val="2"/>
      </rPr>
      <t>"user"</t>
    </r>
    <r>
      <rPr>
        <sz val="11"/>
        <color rgb="FFCCCCCC"/>
        <rFont val="Consolas"/>
        <family val="2"/>
      </rPr>
      <t>} }</t>
    </r>
  </si>
  <si>
    <t>user_stands</t>
  </si>
  <si>
    <r>
      <t>{</t>
    </r>
    <r>
      <rPr>
        <sz val="11"/>
        <color rgb="FF9CDCFE"/>
        <rFont val="Consolas"/>
        <family val="2"/>
      </rPr>
      <t>"av"</t>
    </r>
    <r>
      <rPr>
        <sz val="11"/>
        <color rgb="FFCCCCCC"/>
        <rFont val="Consolas"/>
        <family val="2"/>
      </rPr>
      <t xml:space="preserve"> : {</t>
    </r>
    <r>
      <rPr>
        <sz val="11"/>
        <color rgb="FF9CDCFE"/>
        <rFont val="Consolas"/>
        <family val="2"/>
      </rPr>
      <t>"av-command"</t>
    </r>
    <r>
      <rPr>
        <sz val="11"/>
        <color rgb="FFCCCCCC"/>
        <rFont val="Consolas"/>
        <family val="2"/>
      </rPr>
      <t xml:space="preserve">: </t>
    </r>
    <r>
      <rPr>
        <sz val="11"/>
        <color rgb="FFCE9178"/>
        <rFont val="Consolas"/>
        <family val="2"/>
      </rPr>
      <t>"vision-pose-update"</t>
    </r>
    <r>
      <rPr>
        <sz val="11"/>
        <color rgb="FFCCCCCC"/>
        <rFont val="Consolas"/>
        <family val="2"/>
      </rPr>
      <t xml:space="preserve">, </t>
    </r>
    <r>
      <rPr>
        <sz val="11"/>
        <color rgb="FF9CDCFE"/>
        <rFont val="Consolas"/>
        <family val="2"/>
      </rPr>
      <t>"data"</t>
    </r>
    <r>
      <rPr>
        <sz val="11"/>
        <color rgb="FFCCCCCC"/>
        <rFont val="Consolas"/>
        <family val="2"/>
      </rPr>
      <t>: {</t>
    </r>
    <r>
      <rPr>
        <sz val="11"/>
        <color rgb="FF9CDCFE"/>
        <rFont val="Consolas"/>
        <family val="2"/>
      </rPr>
      <t>"pose_state"</t>
    </r>
    <r>
      <rPr>
        <sz val="11"/>
        <color rgb="FFCCCCCC"/>
        <rFont val="Consolas"/>
        <family val="2"/>
      </rPr>
      <t xml:space="preserve">: </t>
    </r>
    <r>
      <rPr>
        <sz val="11"/>
        <color rgb="FFCE9178"/>
        <rFont val="Consolas"/>
        <family val="2"/>
      </rPr>
      <t>"Standing"</t>
    </r>
    <r>
      <rPr>
        <sz val="11"/>
        <color rgb="FFCCCCCC"/>
        <rFont val="Consolas"/>
        <family val="2"/>
      </rPr>
      <t>}} }</t>
    </r>
  </si>
  <si>
    <t>Language</t>
  </si>
  <si>
    <t>Do Animation</t>
  </si>
  <si>
    <t>Local IP</t>
  </si>
  <si>
    <t>Local Play</t>
  </si>
  <si>
    <t>voice name</t>
  </si>
  <si>
    <t>Friendly Linus @ VT506 Clean</t>
  </si>
  <si>
    <t>/opt/homebrew/bin/osc</t>
  </si>
  <si>
    <t>OSC Exe</t>
  </si>
  <si>
    <t>/opt/homebrew/bin/sendosc</t>
  </si>
  <si>
    <t>OSC IP</t>
  </si>
  <si>
    <t>OSC Port Control:</t>
  </si>
  <si>
    <t>OSC Port Unreal:</t>
  </si>
  <si>
    <t>OSC Channel 'Meat Say'</t>
  </si>
  <si>
    <t>say</t>
  </si>
  <si>
    <t>sends text and infos</t>
  </si>
  <si>
    <t>OSC Channel 'Meat Fake'</t>
  </si>
  <si>
    <t>fake</t>
  </si>
  <si>
    <t>starts deep fake generation</t>
  </si>
  <si>
    <t>OSC Channel 'Meat Play'</t>
  </si>
  <si>
    <t>plays stored deep fake</t>
  </si>
  <si>
    <t>OSC Channel 'Meat State'</t>
  </si>
  <si>
    <t>changes mask state</t>
  </si>
  <si>
    <t>OSC Channel 'Play Audio'</t>
  </si>
  <si>
    <t>/play/audio</t>
  </si>
  <si>
    <t>plays audio from local repo</t>
  </si>
  <si>
    <t>OSC Channel 'Meat' Stub</t>
  </si>
  <si>
    <t>/meat</t>
  </si>
  <si>
    <t>TD Channel 'makefakes'</t>
  </si>
  <si>
    <t>/makefakes</t>
  </si>
  <si>
    <t>generate deep fakes</t>
  </si>
  <si>
    <t>TD Channel 'mood'</t>
  </si>
  <si>
    <t>/mood</t>
  </si>
  <si>
    <t>lights and sound</t>
  </si>
  <si>
    <t>TD Channel 'screen'</t>
  </si>
  <si>
    <t>/screen</t>
  </si>
  <si>
    <t>play deepfakes</t>
  </si>
  <si>
    <t>TD Channel 'pause'</t>
  </si>
  <si>
    <t>/pause</t>
  </si>
  <si>
    <t>AV Channel 'observe'</t>
  </si>
  <si>
    <t>/observe</t>
  </si>
  <si>
    <t>wait until something happens</t>
  </si>
  <si>
    <t>AV Channel 'register'</t>
  </si>
  <si>
    <t>/register</t>
  </si>
  <si>
    <t>observe and story property</t>
  </si>
  <si>
    <t>AV Channel 'listen'</t>
  </si>
  <si>
    <t>/listen</t>
  </si>
  <si>
    <t>speech-to-text</t>
  </si>
  <si>
    <t>BW Channel 'generate'</t>
  </si>
  <si>
    <t>/generate</t>
  </si>
  <si>
    <t>generate text</t>
  </si>
  <si>
    <t>DeepFake Demo Touch:</t>
  </si>
  <si>
    <t>/Users/manuel/Dropbox/GitHub/repos/friendly-fire/generated_deepfakes/_audios</t>
  </si>
  <si>
    <t>DeepFake Demo Azure:</t>
  </si>
  <si>
    <t>/Users/manuel/Dropbox/GitHub/repos/friendly-fire/azure</t>
  </si>
  <si>
    <t>azure_styles</t>
  </si>
  <si>
    <t>gpt_styles</t>
  </si>
  <si>
    <t>animations</t>
  </si>
  <si>
    <t>states</t>
  </si>
  <si>
    <t>roles</t>
  </si>
  <si>
    <t>valid ips</t>
  </si>
  <si>
    <t>languages</t>
  </si>
  <si>
    <t xml:space="preserve">JSON </t>
  </si>
  <si>
    <t>sg_moods</t>
  </si>
  <si>
    <t>127.0.0.1</t>
  </si>
  <si>
    <t>[</t>
  </si>
  <si>
    <t>{</t>
  </si>
  <si>
    <t>steam</t>
  </si>
  <si>
    <t>{"</t>
  </si>
  <si>
    <t>Terrified</t>
  </si>
  <si>
    <t>":"</t>
  </si>
  <si>
    <t>effort</t>
  </si>
  <si>
    <t>","</t>
  </si>
  <si>
    <t>annoyed</t>
  </si>
  <si>
    <t>":</t>
  </si>
  <si>
    <t>acknowledge</t>
  </si>
  <si>
    <t>,"</t>
  </si>
  <si>
    <t>":{"</t>
  </si>
  <si>
    <t>"},"</t>
  </si>
  <si>
    <t>},"</t>
  </si>
  <si>
    <t>"}}</t>
  </si>
  <si>
    <t>}}</t>
  </si>
  <si>
    <t>]</t>
  </si>
  <si>
    <t>}</t>
  </si>
  <si>
    <t>"</t>
  </si>
  <si>
    <t>,</t>
  </si>
  <si>
    <t>FRIENDLY FIRE Meatpuppet JSON [9.10.2023]</t>
  </si>
  <si>
    <r>
      <rPr>
        <sz val="14"/>
        <color rgb="FF000000"/>
        <rFont val="JetBrains Mono Regular"/>
        <charset val="1"/>
      </rPr>
      <t xml:space="preserve">OSC Channel: </t>
    </r>
    <r>
      <rPr>
        <sz val="14"/>
        <color rgb="FFFF0000"/>
        <rFont val="JetBrains Mono Regular"/>
        <charset val="1"/>
      </rPr>
      <t>/meat/say</t>
    </r>
  </si>
  <si>
    <r>
      <rPr>
        <sz val="14"/>
        <color rgb="FF000000"/>
        <rFont val="JetBrains Mono Regular"/>
        <charset val="1"/>
      </rPr>
      <t xml:space="preserve">OSC Port:    </t>
    </r>
    <r>
      <rPr>
        <sz val="14"/>
        <color rgb="FFFF0000"/>
        <rFont val="JetBrains Mono Regular"/>
        <charset val="1"/>
      </rPr>
      <t>5918</t>
    </r>
  </si>
  <si>
    <r>
      <rPr>
        <sz val="14"/>
        <color rgb="FF000000"/>
        <rFont val="JetBrains Mono Regular"/>
        <charset val="1"/>
      </rPr>
      <t xml:space="preserve">OSC Payload: </t>
    </r>
    <r>
      <rPr>
        <sz val="14"/>
        <color rgb="FFFF0000"/>
        <rFont val="JetBrains Mono Regular"/>
        <charset val="1"/>
      </rPr>
      <t>String</t>
    </r>
  </si>
  <si>
    <t>value for 'empty'</t>
  </si>
  <si>
    <t>animate:</t>
  </si>
  <si>
    <t>style:</t>
  </si>
  <si>
    <t>next_state:</t>
  </si>
  <si>
    <t>mood:</t>
  </si>
  <si>
    <t>"mask" or "voice" (announcer)</t>
  </si>
  <si>
    <r>
      <rPr>
        <sz val="14"/>
        <color rgb="FFC55A11"/>
        <rFont val="JetBrains Mono Regular"/>
        <charset val="1"/>
      </rPr>
      <t xml:space="preserve">    "role"</t>
    </r>
    <r>
      <rPr>
        <sz val="14"/>
        <color rgb="FF000000"/>
        <rFont val="JetBrains Mono Regular"/>
        <charset val="1"/>
      </rPr>
      <t>:</t>
    </r>
    <r>
      <rPr>
        <sz val="14"/>
        <color rgb="FF548235"/>
        <rFont val="JetBrains Mono Regular"/>
        <charset val="1"/>
      </rPr>
      <t xml:space="preserve"> "mask"</t>
    </r>
    <r>
      <rPr>
        <sz val="14"/>
        <color rgb="FF000000"/>
        <rFont val="JetBrains Mono Regular"/>
        <charset val="1"/>
      </rPr>
      <t>,</t>
    </r>
  </si>
  <si>
    <t>""</t>
  </si>
  <si>
    <t>text with tags (for ssml conversion)</t>
  </si>
  <si>
    <r>
      <rPr>
        <sz val="14"/>
        <color rgb="FFC55A11"/>
        <rFont val="JetBrains Mono Regular"/>
        <charset val="1"/>
      </rPr>
      <t xml:space="preserve">    "text"</t>
    </r>
    <r>
      <rPr>
        <sz val="14"/>
        <color rgb="FF000000"/>
        <rFont val="JetBrains Mono Regular"/>
        <charset val="1"/>
      </rPr>
      <t xml:space="preserve">: </t>
    </r>
    <r>
      <rPr>
        <sz val="14"/>
        <color rgb="FF548235"/>
        <rFont val="JetBrains Mono Regular"/>
        <charset val="1"/>
      </rPr>
      <t>"Now [prosody pitch=5]go[/prosody]."</t>
    </r>
    <r>
      <rPr>
        <sz val="14"/>
        <color rgb="FF000000"/>
        <rFont val="JetBrains Mono Regular"/>
        <charset val="1"/>
      </rPr>
      <t>,</t>
    </r>
  </si>
  <si>
    <t>unused here</t>
  </si>
  <si>
    <r>
      <rPr>
        <sz val="14"/>
        <color rgb="FF000000"/>
        <rFont val="JetBrains Mono Regular"/>
        <charset val="1"/>
      </rPr>
      <t xml:space="preserve">  </t>
    </r>
    <r>
      <rPr>
        <sz val="14"/>
        <color rgb="FFC55A11"/>
        <rFont val="JetBrains Mono Regular"/>
        <charset val="1"/>
      </rPr>
      <t xml:space="preserve">  "gpt_emotion"</t>
    </r>
    <r>
      <rPr>
        <sz val="14"/>
        <color rgb="FF000000"/>
        <rFont val="JetBrains Mono Regular"/>
        <charset val="1"/>
      </rPr>
      <t>:</t>
    </r>
    <r>
      <rPr>
        <sz val="14"/>
        <color rgb="FF548235"/>
        <rFont val="JetBrains Mono Regular"/>
        <charset val="1"/>
      </rPr>
      <t xml:space="preserve"> ""</t>
    </r>
    <r>
      <rPr>
        <sz val="14"/>
        <color rgb="FF000000"/>
        <rFont val="JetBrains Mono Regular"/>
        <charset val="1"/>
      </rPr>
      <t>,</t>
    </r>
  </si>
  <si>
    <r>
      <rPr>
        <sz val="14"/>
        <color rgb="FF000000"/>
        <rFont val="JetBrains Mono Regular"/>
        <charset val="1"/>
      </rPr>
      <t xml:space="preserve">   </t>
    </r>
    <r>
      <rPr>
        <sz val="14"/>
        <color rgb="FFC55A11"/>
        <rFont val="JetBrains Mono Regular"/>
        <charset val="1"/>
      </rPr>
      <t xml:space="preserve"> "gpt_tone"</t>
    </r>
    <r>
      <rPr>
        <sz val="14"/>
        <color rgb="FF000000"/>
        <rFont val="JetBrains Mono Regular"/>
        <charset val="1"/>
      </rPr>
      <t xml:space="preserve">: </t>
    </r>
    <r>
      <rPr>
        <sz val="14"/>
        <color rgb="FF548235"/>
        <rFont val="JetBrains Mono Regular"/>
        <charset val="1"/>
      </rPr>
      <t>""</t>
    </r>
    <r>
      <rPr>
        <sz val="14"/>
        <color rgb="FF000000"/>
        <rFont val="JetBrains Mono Regular"/>
        <charset val="1"/>
      </rPr>
      <t>,</t>
    </r>
  </si>
  <si>
    <t>animations to trigger in unreal engine</t>
  </si>
  <si>
    <r>
      <rPr>
        <sz val="14"/>
        <color rgb="FF000000"/>
        <rFont val="JetBrains Mono Regular"/>
        <charset val="1"/>
      </rPr>
      <t xml:space="preserve">   </t>
    </r>
    <r>
      <rPr>
        <sz val="14"/>
        <color rgb="FFC55A11"/>
        <rFont val="JetBrains Mono Regular"/>
        <charset val="1"/>
      </rPr>
      <t xml:space="preserve"> "animate"</t>
    </r>
    <r>
      <rPr>
        <sz val="14"/>
        <color rgb="FF000000"/>
        <rFont val="JetBrains Mono Regular"/>
        <charset val="1"/>
      </rPr>
      <t>: {</t>
    </r>
  </si>
  <si>
    <t>before speech synthesis</t>
  </si>
  <si>
    <r>
      <rPr>
        <sz val="14"/>
        <color rgb="FF000000"/>
        <rFont val="JetBrains Mono Regular"/>
        <charset val="1"/>
      </rPr>
      <t xml:space="preserve">        </t>
    </r>
    <r>
      <rPr>
        <sz val="14"/>
        <color rgb="FFC55A11"/>
        <rFont val="JetBrains Mono Regular"/>
        <charset val="1"/>
      </rPr>
      <t>"pre"</t>
    </r>
    <r>
      <rPr>
        <sz val="14"/>
        <color rgb="FF000000"/>
        <rFont val="JetBrains Mono Regular"/>
        <charset val="1"/>
      </rPr>
      <t xml:space="preserve">: </t>
    </r>
    <r>
      <rPr>
        <sz val="14"/>
        <color rgb="FF548235"/>
        <rFont val="JetBrains Mono Regular"/>
        <charset val="1"/>
      </rPr>
      <t>"eyeroll"</t>
    </r>
    <r>
      <rPr>
        <sz val="14"/>
        <color rgb="FF000000"/>
        <rFont val="JetBrains Mono Regular"/>
        <charset val="1"/>
      </rPr>
      <t>,</t>
    </r>
  </si>
  <si>
    <t>after speech synthesis</t>
  </si>
  <si>
    <r>
      <rPr>
        <sz val="14"/>
        <color rgb="FF000000"/>
        <rFont val="JetBrains Mono Regular"/>
        <charset val="1"/>
      </rPr>
      <t xml:space="preserve">        </t>
    </r>
    <r>
      <rPr>
        <sz val="14"/>
        <color rgb="FFC55A11"/>
        <rFont val="JetBrains Mono Regular"/>
        <charset val="1"/>
      </rPr>
      <t>"post"</t>
    </r>
    <r>
      <rPr>
        <sz val="14"/>
        <color rgb="FF000000"/>
        <rFont val="JetBrains Mono Regular"/>
        <charset val="1"/>
      </rPr>
      <t>: "</t>
    </r>
    <r>
      <rPr>
        <sz val="14"/>
        <color rgb="FF548235"/>
        <rFont val="JetBrains Mono Regular"/>
        <charset val="1"/>
      </rPr>
      <t>steam</t>
    </r>
    <r>
      <rPr>
        <sz val="14"/>
        <color rgb="FF000000"/>
        <rFont val="JetBrains Mono Regular"/>
        <charset val="1"/>
      </rPr>
      <t>",</t>
    </r>
  </si>
  <si>
    <t>state to switch to after speech or "post"</t>
  </si>
  <si>
    <r>
      <rPr>
        <sz val="14"/>
        <color rgb="FF000000"/>
        <rFont val="JetBrains Mono Regular"/>
        <charset val="1"/>
      </rPr>
      <t xml:space="preserve">        </t>
    </r>
    <r>
      <rPr>
        <sz val="14"/>
        <color rgb="FFC55A11"/>
        <rFont val="JetBrains Mono Regular"/>
        <charset val="1"/>
      </rPr>
      <t>"next_state"</t>
    </r>
    <r>
      <rPr>
        <sz val="14"/>
        <color rgb="FF000000"/>
        <rFont val="JetBrains Mono Regular"/>
        <charset val="1"/>
      </rPr>
      <t>: "</t>
    </r>
    <r>
      <rPr>
        <sz val="14"/>
        <color rgb="FF548235"/>
        <rFont val="JetBrains Mono Regular"/>
        <charset val="1"/>
      </rPr>
      <t>say</t>
    </r>
    <r>
      <rPr>
        <sz val="14"/>
        <color rgb="FF000000"/>
        <rFont val="JetBrains Mono Regular"/>
        <charset val="1"/>
      </rPr>
      <t>"</t>
    </r>
  </si>
  <si>
    <t xml:space="preserve">    },</t>
  </si>
  <si>
    <t>azure SSML parameters</t>
  </si>
  <si>
    <r>
      <rPr>
        <sz val="14"/>
        <color rgb="FFC55A11"/>
        <rFont val="JetBrains Mono Regular"/>
        <charset val="1"/>
      </rPr>
      <t xml:space="preserve">    "azure"</t>
    </r>
    <r>
      <rPr>
        <sz val="14"/>
        <color rgb="FF000000"/>
        <rFont val="JetBrains Mono Regular"/>
        <charset val="1"/>
      </rPr>
      <t>: {</t>
    </r>
  </si>
  <si>
    <t>voice styles</t>
  </si>
  <si>
    <r>
      <rPr>
        <sz val="14"/>
        <color rgb="FF000000"/>
        <rFont val="JetBrains Mono Regular"/>
        <charset val="1"/>
      </rPr>
      <t xml:space="preserve">     </t>
    </r>
    <r>
      <rPr>
        <sz val="14"/>
        <color rgb="FFC55A11"/>
        <rFont val="JetBrains Mono Regular"/>
        <charset val="1"/>
      </rPr>
      <t xml:space="preserve">   "style"</t>
    </r>
    <r>
      <rPr>
        <sz val="14"/>
        <color rgb="FF000000"/>
        <rFont val="JetBrains Mono Regular"/>
        <charset val="1"/>
      </rPr>
      <t>: "</t>
    </r>
    <r>
      <rPr>
        <sz val="14"/>
        <color rgb="FF548235"/>
        <rFont val="JetBrains Mono Regular"/>
        <charset val="1"/>
      </rPr>
      <t>sad</t>
    </r>
    <r>
      <rPr>
        <sz val="14"/>
        <color rgb="FF000000"/>
        <rFont val="JetBrains Mono Regular"/>
        <charset val="1"/>
      </rPr>
      <t>",</t>
    </r>
  </si>
  <si>
    <t>style amount</t>
  </si>
  <si>
    <r>
      <rPr>
        <sz val="14"/>
        <color rgb="FFC55A11"/>
        <rFont val="JetBrains Mono Regular"/>
        <charset val="1"/>
      </rPr>
      <t xml:space="preserve">        "degree"</t>
    </r>
    <r>
      <rPr>
        <sz val="14"/>
        <color rgb="FF000000"/>
        <rFont val="JetBrains Mono Regular"/>
        <charset val="1"/>
      </rPr>
      <t xml:space="preserve">: </t>
    </r>
    <r>
      <rPr>
        <sz val="14"/>
        <color rgb="FF548235"/>
        <rFont val="JetBrains Mono Regular"/>
        <charset val="1"/>
      </rPr>
      <t>0.85</t>
    </r>
    <r>
      <rPr>
        <sz val="14"/>
        <color rgb="FF000000"/>
        <rFont val="JetBrains Mono Regular"/>
        <charset val="1"/>
      </rPr>
      <t>,</t>
    </r>
  </si>
  <si>
    <t>pause between sentences (in ms)</t>
  </si>
  <si>
    <r>
      <rPr>
        <sz val="14"/>
        <color rgb="FFC55A11"/>
        <rFont val="JetBrains Mono Regular"/>
        <charset val="1"/>
      </rPr>
      <t xml:space="preserve">        "pause"</t>
    </r>
    <r>
      <rPr>
        <sz val="14"/>
        <color rgb="FF000000"/>
        <rFont val="JetBrains Mono Regular"/>
        <charset val="1"/>
      </rPr>
      <t xml:space="preserve">: </t>
    </r>
    <r>
      <rPr>
        <sz val="14"/>
        <color rgb="FF548235"/>
        <rFont val="JetBrains Mono Regular"/>
        <charset val="1"/>
      </rPr>
      <t>200</t>
    </r>
    <r>
      <rPr>
        <sz val="14"/>
        <color rgb="FF000000"/>
        <rFont val="JetBrains Mono Regular"/>
        <charset val="1"/>
      </rPr>
      <t>,</t>
    </r>
  </si>
  <si>
    <t>pitch (+/- in %)</t>
  </si>
  <si>
    <r>
      <rPr>
        <sz val="14"/>
        <color rgb="FFC55A11"/>
        <rFont val="JetBrains Mono Regular"/>
        <charset val="1"/>
      </rPr>
      <t xml:space="preserve">        "pitch"</t>
    </r>
    <r>
      <rPr>
        <sz val="14"/>
        <color rgb="FF000000"/>
        <rFont val="JetBrains Mono Regular"/>
        <charset val="1"/>
      </rPr>
      <t>:</t>
    </r>
    <r>
      <rPr>
        <sz val="14"/>
        <color rgb="FF548235"/>
        <rFont val="JetBrains Mono Regular"/>
        <charset val="1"/>
      </rPr>
      <t xml:space="preserve"> 5</t>
    </r>
    <r>
      <rPr>
        <sz val="14"/>
        <color rgb="FF000000"/>
        <rFont val="JetBrains Mono Regular"/>
        <charset val="1"/>
      </rPr>
      <t>,</t>
    </r>
  </si>
  <si>
    <r>
      <rPr>
        <sz val="14"/>
        <color rgb="FF000000"/>
        <rFont val="JetBrains Mono Regular"/>
        <charset val="1"/>
      </rPr>
      <t xml:space="preserve">  </t>
    </r>
    <r>
      <rPr>
        <sz val="14"/>
        <color rgb="FFC55A11"/>
        <rFont val="JetBrains Mono Regular"/>
        <charset val="1"/>
      </rPr>
      <t xml:space="preserve">      "rate"</t>
    </r>
    <r>
      <rPr>
        <sz val="14"/>
        <color rgb="FF000000"/>
        <rFont val="JetBrains Mono Regular"/>
        <charset val="1"/>
      </rPr>
      <t xml:space="preserve">: </t>
    </r>
    <r>
      <rPr>
        <sz val="14"/>
        <color rgb="FF548235"/>
        <rFont val="JetBrains Mono Regular"/>
        <charset val="1"/>
      </rPr>
      <t>-8</t>
    </r>
    <r>
      <rPr>
        <sz val="14"/>
        <color rgb="FF000000"/>
        <rFont val="JetBrains Mono Regular"/>
        <charset val="1"/>
      </rPr>
      <t>,</t>
    </r>
  </si>
  <si>
    <r>
      <rPr>
        <sz val="14"/>
        <color rgb="FFC55A11"/>
        <rFont val="JetBrains Mono Regular"/>
        <charset val="1"/>
      </rPr>
      <t xml:space="preserve">        "volume"</t>
    </r>
    <r>
      <rPr>
        <sz val="14"/>
        <color rgb="FF000000"/>
        <rFont val="JetBrains Mono Regular"/>
        <charset val="1"/>
      </rPr>
      <t xml:space="preserve">: </t>
    </r>
    <r>
      <rPr>
        <sz val="14"/>
        <color rgb="FF548235"/>
        <rFont val="JetBrains Mono Regular"/>
        <charset val="1"/>
      </rPr>
      <t>15</t>
    </r>
  </si>
  <si>
    <t>emotion for face</t>
  </si>
  <si>
    <r>
      <rPr>
        <sz val="14"/>
        <color rgb="FFC55A11"/>
        <rFont val="JetBrains Mono Regular"/>
        <charset val="1"/>
      </rPr>
      <t xml:space="preserve">    "emotion"</t>
    </r>
    <r>
      <rPr>
        <sz val="14"/>
        <color rgb="FF000000"/>
        <rFont val="JetBrains Mono Regular"/>
        <charset val="1"/>
      </rPr>
      <t>: {</t>
    </r>
  </si>
  <si>
    <t>between 0 and 1</t>
  </si>
  <si>
    <r>
      <rPr>
        <sz val="14"/>
        <color rgb="FFC55A11"/>
        <rFont val="JetBrains Mono Regular"/>
        <charset val="1"/>
      </rPr>
      <t xml:space="preserve">        "sadness"</t>
    </r>
    <r>
      <rPr>
        <sz val="14"/>
        <color rgb="FF000000"/>
        <rFont val="JetBrains Mono Regular"/>
        <charset val="1"/>
      </rPr>
      <t xml:space="preserve">: </t>
    </r>
    <r>
      <rPr>
        <sz val="14"/>
        <color rgb="FF548235"/>
        <rFont val="JetBrains Mono Regular"/>
        <charset val="1"/>
      </rPr>
      <t>0.258</t>
    </r>
    <r>
      <rPr>
        <sz val="14"/>
        <color rgb="FF000000"/>
        <rFont val="JetBrains Mono Regular"/>
        <charset val="1"/>
      </rPr>
      <t>,</t>
    </r>
  </si>
  <si>
    <r>
      <rPr>
        <sz val="14"/>
        <color rgb="FFC55A11"/>
        <rFont val="JetBrains Mono Regular"/>
        <charset val="1"/>
      </rPr>
      <t xml:space="preserve">        "joy"</t>
    </r>
    <r>
      <rPr>
        <sz val="14"/>
        <color rgb="FF000000"/>
        <rFont val="JetBrains Mono Regular"/>
        <charset val="1"/>
      </rPr>
      <t xml:space="preserve">: </t>
    </r>
    <r>
      <rPr>
        <sz val="14"/>
        <color rgb="FF548235"/>
        <rFont val="JetBrains Mono Regular"/>
        <charset val="1"/>
      </rPr>
      <t>1</t>
    </r>
    <r>
      <rPr>
        <sz val="14"/>
        <color rgb="FF000000"/>
        <rFont val="JetBrains Mono Regular"/>
        <charset val="1"/>
      </rPr>
      <t>,</t>
    </r>
  </si>
  <si>
    <r>
      <rPr>
        <sz val="14"/>
        <color rgb="FFC55A11"/>
        <rFont val="JetBrains Mono Regular"/>
        <charset val="1"/>
      </rPr>
      <t xml:space="preserve">        "fear"</t>
    </r>
    <r>
      <rPr>
        <sz val="14"/>
        <color rgb="FF000000"/>
        <rFont val="JetBrains Mono Regular"/>
        <charset val="1"/>
      </rPr>
      <t xml:space="preserve">: </t>
    </r>
    <r>
      <rPr>
        <sz val="14"/>
        <color rgb="FF548235"/>
        <rFont val="JetBrains Mono Regular"/>
        <charset val="1"/>
      </rPr>
      <t>0.247</t>
    </r>
    <r>
      <rPr>
        <sz val="14"/>
        <color rgb="FF000000"/>
        <rFont val="JetBrains Mono Regular"/>
        <charset val="1"/>
      </rPr>
      <t>,</t>
    </r>
  </si>
  <si>
    <r>
      <rPr>
        <sz val="14"/>
        <color rgb="FFC55A11"/>
        <rFont val="JetBrains Mono Regular"/>
        <charset val="1"/>
      </rPr>
      <t xml:space="preserve">        "disgust"</t>
    </r>
    <r>
      <rPr>
        <sz val="14"/>
        <color rgb="FF000000"/>
        <rFont val="JetBrains Mono Regular"/>
        <charset val="1"/>
      </rPr>
      <t xml:space="preserve">: </t>
    </r>
    <r>
      <rPr>
        <sz val="14"/>
        <color rgb="FF548235"/>
        <rFont val="JetBrains Mono Regular"/>
        <charset val="1"/>
      </rPr>
      <t>0</t>
    </r>
    <r>
      <rPr>
        <sz val="14"/>
        <color rgb="FF000000"/>
        <rFont val="JetBrains Mono Regular"/>
        <charset val="1"/>
      </rPr>
      <t>,</t>
    </r>
  </si>
  <si>
    <r>
      <rPr>
        <sz val="14"/>
        <color rgb="FFC55A11"/>
        <rFont val="JetBrains Mono Regular"/>
        <charset val="1"/>
      </rPr>
      <t xml:space="preserve">        "anger"</t>
    </r>
    <r>
      <rPr>
        <sz val="14"/>
        <color rgb="FF000000"/>
        <rFont val="JetBrains Mono Regular"/>
        <charset val="1"/>
      </rPr>
      <t xml:space="preserve">: </t>
    </r>
    <r>
      <rPr>
        <sz val="14"/>
        <color rgb="FF548235"/>
        <rFont val="JetBrains Mono Regular"/>
        <charset val="1"/>
      </rPr>
      <t>0.001</t>
    </r>
  </si>
  <si>
    <t>speech graphics facial expression</t>
  </si>
  <si>
    <r>
      <rPr>
        <sz val="14"/>
        <color rgb="FFC55A11"/>
        <rFont val="JetBrains Mono Regular"/>
        <charset val="1"/>
      </rPr>
      <t xml:space="preserve">    "sgcom"</t>
    </r>
    <r>
      <rPr>
        <sz val="14"/>
        <color rgb="FF000000"/>
        <rFont val="JetBrains Mono Regular"/>
        <charset val="1"/>
      </rPr>
      <t>: {</t>
    </r>
  </si>
  <si>
    <t>base expression</t>
  </si>
  <si>
    <r>
      <rPr>
        <sz val="14"/>
        <color rgb="FFC55A11"/>
        <rFont val="JetBrains Mono Regular"/>
        <charset val="1"/>
      </rPr>
      <t xml:space="preserve">        "mood"</t>
    </r>
    <r>
      <rPr>
        <sz val="14"/>
        <color rgb="FF000000"/>
        <rFont val="JetBrains Mono Regular"/>
        <charset val="1"/>
      </rPr>
      <t>: "</t>
    </r>
    <r>
      <rPr>
        <sz val="14"/>
        <color rgb="FF385724"/>
        <rFont val="JetBrains Mono Regular"/>
        <charset val="1"/>
      </rPr>
      <t>neutral</t>
    </r>
    <r>
      <rPr>
        <sz val="14"/>
        <color rgb="FF000000"/>
        <rFont val="JetBrains Mono Regular"/>
        <charset val="1"/>
      </rPr>
      <t>",</t>
    </r>
  </si>
  <si>
    <t>intensity (0.1-10)</t>
  </si>
  <si>
    <r>
      <rPr>
        <sz val="14"/>
        <color rgb="FFC55A11"/>
        <rFont val="JetBrains Mono Regular"/>
        <charset val="1"/>
      </rPr>
      <t xml:space="preserve">        "scale"</t>
    </r>
    <r>
      <rPr>
        <sz val="14"/>
        <color rgb="FF000000"/>
        <rFont val="JetBrains Mono Regular"/>
        <charset val="1"/>
      </rPr>
      <t xml:space="preserve">: </t>
    </r>
    <r>
      <rPr>
        <sz val="14"/>
        <color rgb="FF385724"/>
        <rFont val="JetBrains Mono Regular"/>
        <charset val="1"/>
      </rPr>
      <t>1.2</t>
    </r>
  </si>
  <si>
    <t xml:space="preserve">    }</t>
  </si>
  <si>
    <t>How [prosody pitch=30 rate=-30] do you like your  [/prosody]  [prosody pitch=10 rate=-15] mother [/prosody] ?</t>
  </si>
  <si>
    <t>[prosody pitch=30 rate=-30] My [/prosody] mother is a useless piece of [prosody pitch=50] shit[/prosody]!</t>
  </si>
  <si>
    <t>pause_pre</t>
  </si>
  <si>
    <t>&lt;break time='</t>
  </si>
  <si>
    <t>pause_post</t>
  </si>
  <si>
    <t>ms' /&gt;</t>
  </si>
  <si>
    <t>X-weak</t>
  </si>
  <si>
    <t>250 ms</t>
  </si>
  <si>
    <t>Weak</t>
  </si>
  <si>
    <t>500 ms</t>
  </si>
  <si>
    <t>Medium</t>
  </si>
  <si>
    <t>750 ms</t>
  </si>
  <si>
    <t>Strong</t>
  </si>
  <si>
    <t>1,000 ms</t>
  </si>
  <si>
    <t>X-strong</t>
  </si>
  <si>
    <t>1,250 ms</t>
  </si>
  <si>
    <t>pause_x-short</t>
  </si>
  <si>
    <t>pause_short</t>
  </si>
  <si>
    <t>pause_medium</t>
  </si>
  <si>
    <t>pause_long</t>
  </si>
  <si>
    <t>pause_x-long</t>
  </si>
  <si>
    <t>afplay /Users/manuel/Dropbox/GitHub/repos/friendly-fire/azure/095_never_mattered.wav &amp;</t>
  </si>
  <si>
    <t>And how do you feel about that?</t>
  </si>
  <si>
    <t>10.10.10.10</t>
  </si>
  <si>
    <t>I'm sorry. There seems to be an issue with your therapist! Their brain cells are now rebooting! Please: stand by!!!</t>
  </si>
  <si>
    <t>2</t>
  </si>
  <si>
    <t>frequency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</si>
</sst>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52">
    <font>
      <sz val="12"/>
      <color rgb="FF000000"/>
      <name val="Calibri"/>
      <family val="2"/>
      <charset val="1"/>
    </font>
    <font>
      <sz val="10"/>
      <color rgb="FF000000"/>
      <name val="Calibri"/>
      <family val="2"/>
      <charset val="1"/>
    </font>
    <font>
      <sz val="12"/>
      <color rgb="FF000000"/>
      <name val="JetBrains Mono Regular"/>
      <charset val="1"/>
    </font>
    <font>
      <sz val="10"/>
      <color rgb="FF000000"/>
      <name val="Calibri (Body)"/>
      <charset val="1"/>
    </font>
    <font>
      <b/>
      <sz val="10"/>
      <color rgb="FF000000"/>
      <name val="Calibri"/>
      <family val="2"/>
      <charset val="1"/>
    </font>
    <font>
      <sz val="10"/>
      <color rgb="FF9DC3E6"/>
      <name val="Calibri"/>
      <family val="2"/>
      <charset val="1"/>
    </font>
    <font>
      <sz val="10"/>
      <color rgb="FFA6A6A6"/>
      <name val="Calibri"/>
      <family val="2"/>
      <charset val="1"/>
    </font>
    <font>
      <sz val="10"/>
      <color rgb="FF9BC2E6"/>
      <name val="Calibri"/>
      <family val="2"/>
      <charset val="1"/>
    </font>
    <font>
      <sz val="10"/>
      <color rgb="FFA9D18E"/>
      <name val="Calibri"/>
      <family val="2"/>
      <charset val="1"/>
    </font>
    <font>
      <sz val="10"/>
      <color rgb="FFFF0000"/>
      <name val="Calibri"/>
      <family val="2"/>
      <charset val="1"/>
    </font>
    <font>
      <sz val="14"/>
      <color rgb="FF000000"/>
      <name val="Calibri"/>
      <family val="2"/>
      <charset val="1"/>
    </font>
    <font>
      <b/>
      <sz val="14"/>
      <color rgb="FF000000"/>
      <name val="JetBrains Mono Regular"/>
      <charset val="1"/>
    </font>
    <font>
      <sz val="14"/>
      <color rgb="FF000000"/>
      <name val="JetBrains Mono Regular"/>
      <charset val="1"/>
    </font>
    <font>
      <sz val="14"/>
      <color rgb="FFFF0000"/>
      <name val="JetBrains Mono Regular"/>
      <charset val="1"/>
    </font>
    <font>
      <b/>
      <sz val="12"/>
      <color rgb="FF000000"/>
      <name val="JetBrains Mono Regular"/>
      <charset val="1"/>
    </font>
    <font>
      <sz val="10"/>
      <color rgb="FF000000"/>
      <name val="JetBrains Mono Regular"/>
      <charset val="1"/>
    </font>
    <font>
      <sz val="14"/>
      <color rgb="FFC55A11"/>
      <name val="JetBrains Mono Regular"/>
      <charset val="1"/>
    </font>
    <font>
      <sz val="14"/>
      <color rgb="FF548235"/>
      <name val="JetBrains Mono Regular"/>
      <charset val="1"/>
    </font>
    <font>
      <sz val="14"/>
      <color rgb="FF385724"/>
      <name val="JetBrains Mono Regular"/>
      <charset val="1"/>
    </font>
    <font>
      <sz val="10"/>
      <color rgb="FF000000"/>
      <name val="Calibri"/>
      <family val="2"/>
    </font>
    <font>
      <b/>
      <i/>
      <sz val="10"/>
      <color theme="1"/>
      <name val="Calibri"/>
      <family val="2"/>
    </font>
    <font>
      <b/>
      <sz val="10"/>
      <name val="Calibri"/>
      <family val="2"/>
    </font>
    <font>
      <b/>
      <i/>
      <sz val="10"/>
      <color rgb="FF000000"/>
      <name val="Calibri"/>
      <family val="2"/>
    </font>
    <font>
      <b/>
      <sz val="10"/>
      <color rgb="FF000000"/>
      <name val="Calibri"/>
      <family val="2"/>
    </font>
    <font>
      <b/>
      <sz val="10"/>
      <color theme="0"/>
      <name val="Calibri"/>
      <family val="2"/>
    </font>
    <font>
      <b/>
      <sz val="10"/>
      <color rgb="FF000000"/>
      <name val="Calibri (Body)"/>
    </font>
    <font>
      <b/>
      <i/>
      <sz val="10"/>
      <name val="Calibri"/>
      <family val="2"/>
    </font>
    <font>
      <sz val="9"/>
      <color rgb="FF000000"/>
      <name val="Calibri"/>
      <family val="2"/>
    </font>
    <font>
      <sz val="10"/>
      <color rgb="FF000000"/>
      <name val="Helvetica Neue"/>
      <family val="2"/>
    </font>
    <font>
      <sz val="10"/>
      <color rgb="FF161616"/>
      <name val="Helvetica Neue"/>
      <family val="2"/>
    </font>
    <font>
      <b/>
      <sz val="10"/>
      <color rgb="FF000000"/>
      <name val="Helvetica Neue"/>
      <family val="2"/>
    </font>
    <font>
      <sz val="9"/>
      <color rgb="FF000000"/>
      <name val="Helvetica Neue"/>
      <family val="2"/>
    </font>
    <font>
      <b/>
      <sz val="10"/>
      <color theme="1"/>
      <name val="Calibri"/>
      <family val="2"/>
    </font>
    <font>
      <b/>
      <sz val="10"/>
      <color rgb="FFFF0000"/>
      <name val="Calibri"/>
      <family val="2"/>
    </font>
    <font>
      <sz val="12"/>
      <color rgb="FF00B0F0"/>
      <name val="Calibri"/>
      <family val="2"/>
    </font>
    <font>
      <b/>
      <sz val="10"/>
      <color rgb="FF00B0F0"/>
      <name val="Calibri"/>
      <family val="2"/>
    </font>
    <font>
      <b/>
      <sz val="12"/>
      <color rgb="FFFF0000"/>
      <name val="Calibri"/>
      <family val="2"/>
    </font>
    <font>
      <b/>
      <sz val="10"/>
      <color theme="9"/>
      <name val="Calibri"/>
      <family val="2"/>
    </font>
    <font>
      <b/>
      <sz val="12"/>
      <color theme="9"/>
      <name val="Calibri"/>
      <family val="2"/>
    </font>
    <font>
      <b/>
      <sz val="12"/>
      <color rgb="FF000000"/>
      <name val="Calibri"/>
      <family val="2"/>
    </font>
    <font>
      <b/>
      <sz val="12"/>
      <color rgb="FF000000"/>
      <name val="Calibri"/>
      <family val="2"/>
      <charset val="1"/>
    </font>
    <font>
      <b/>
      <sz val="10"/>
      <color rgb="FFA6A6A6"/>
      <name val="Calibri"/>
      <family val="2"/>
    </font>
    <font>
      <b/>
      <sz val="12"/>
      <color theme="1"/>
      <name val="Calibri"/>
      <family val="2"/>
      <charset val="1"/>
    </font>
    <font>
      <sz val="10"/>
      <name val="Calibri"/>
      <family val="2"/>
    </font>
    <font>
      <sz val="10"/>
      <color rgb="FF080808"/>
      <name val="Calibri"/>
      <family val="2"/>
    </font>
    <font>
      <b/>
      <sz val="10"/>
      <color rgb="FF080808"/>
      <name val="Calibri"/>
      <family val="2"/>
    </font>
    <font>
      <sz val="11"/>
      <color rgb="FFCCCCCC"/>
      <name val="Consolas"/>
      <family val="2"/>
    </font>
    <font>
      <sz val="11"/>
      <color rgb="FF9CDCFE"/>
      <name val="Consolas"/>
      <family val="2"/>
    </font>
    <font>
      <sz val="11"/>
      <color rgb="FFCE9178"/>
      <name val="Consolas"/>
      <family val="2"/>
    </font>
    <font>
      <sz val="11"/>
      <color rgb="FF569CD6"/>
      <name val="Consolas"/>
      <family val="2"/>
    </font>
    <font>
      <sz val="12"/>
      <color rgb="FF000000"/>
      <name val="Calibri"/>
      <family val="2"/>
    </font>
    <font>
      <sz val="8"/>
      <color rgb="FF000000"/>
      <name val="Calibri"/>
      <family val="2"/>
    </font>
  </fonts>
  <fills count="17">
    <fill>
      <patternFill patternType="none"/>
    </fill>
    <fill>
      <patternFill patternType="gray125"/>
    </fill>
    <fill>
      <patternFill patternType="solid">
        <fgColor rgb="FFFBE5D6"/>
        <bgColor rgb="FFFFF2CC"/>
      </patternFill>
    </fill>
    <fill>
      <patternFill patternType="solid">
        <fgColor rgb="FFA9D18E"/>
        <bgColor rgb="FF9DC3E6"/>
      </patternFill>
    </fill>
    <fill>
      <patternFill patternType="solid">
        <fgColor rgb="FFFFF2CC"/>
        <bgColor rgb="FFFBE5D6"/>
      </patternFill>
    </fill>
    <fill>
      <patternFill patternType="solid">
        <fgColor rgb="FFE2F0D9"/>
        <bgColor rgb="FFDEEBF7"/>
      </patternFill>
    </fill>
    <fill>
      <patternFill patternType="solid">
        <fgColor rgb="FFDEEBF7"/>
        <bgColor rgb="FFDAE3F3"/>
      </patternFill>
    </fill>
    <fill>
      <patternFill patternType="solid">
        <fgColor theme="0" tint="-0.249977111117893"/>
        <bgColor indexed="64"/>
      </patternFill>
    </fill>
    <fill>
      <patternFill patternType="solid">
        <fgColor theme="0" tint="-0.249977111117893"/>
        <bgColor rgb="FFFFF2CC"/>
      </patternFill>
    </fill>
    <fill>
      <patternFill patternType="solid">
        <fgColor rgb="FFE2EFDA"/>
        <bgColor rgb="FF000000"/>
      </patternFill>
    </fill>
    <fill>
      <patternFill patternType="solid">
        <fgColor rgb="FFF8D4F8"/>
        <bgColor rgb="FFFFF2CC"/>
      </patternFill>
    </fill>
    <fill>
      <patternFill patternType="solid">
        <fgColor rgb="FFCFFFFF"/>
        <bgColor rgb="FF000000"/>
      </patternFill>
    </fill>
    <fill>
      <patternFill patternType="solid">
        <fgColor rgb="FFFCE4D6"/>
        <bgColor rgb="FF000000"/>
      </patternFill>
    </fill>
    <fill>
      <patternFill patternType="solid">
        <fgColor rgb="FFCFFFFF"/>
        <bgColor rgb="FFFFFF00"/>
      </patternFill>
    </fill>
    <fill>
      <patternFill patternType="solid">
        <fgColor rgb="FFFFACAE"/>
        <bgColor rgb="FFFFF2CC"/>
      </patternFill>
    </fill>
    <fill>
      <patternFill patternType="solid">
        <fgColor rgb="FFFFCA7F"/>
        <bgColor indexed="64"/>
      </patternFill>
    </fill>
    <fill>
      <patternFill patternType="solid">
        <fgColor theme="3" tint="0.79998168889431442"/>
        <bgColor indexed="64"/>
      </patternFill>
    </fill>
  </fills>
  <borders count="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0"/>
  </cellStyleXfs>
  <cellXfs count="174">
    <xf numFmtId="0" fontId="0" fillId="0" borderId="0" xfId="0"/>
    <xf numFmtId="0" fontId="0" fillId="0" borderId="0" xfId="0" applyAlignment="1">
      <alignment horizontal="center" vertical="center"/>
    </xf>
    <xf numFmtId="0" fontId="2" fillId="0" borderId="0" xfId="0" applyFont="1" applyAlignment="1">
      <alignment horizontal="center" vertical="center"/>
    </xf>
    <xf numFmtId="0" fontId="3" fillId="2" borderId="1" xfId="0" applyFont="1" applyFill="1" applyBorder="1" applyAlignment="1">
      <alignment horizontal="center" vertical="top"/>
    </xf>
    <xf numFmtId="0" fontId="1" fillId="2" borderId="1" xfId="0" applyFont="1" applyFill="1" applyBorder="1" applyAlignment="1">
      <alignment horizontal="center" vertical="top"/>
    </xf>
    <xf numFmtId="0" fontId="1" fillId="3" borderId="1" xfId="0" applyFont="1" applyFill="1" applyBorder="1" applyAlignment="1">
      <alignment horizontal="center" vertical="top" wrapText="1"/>
    </xf>
    <xf numFmtId="0" fontId="1" fillId="4" borderId="1" xfId="0" applyFont="1" applyFill="1" applyBorder="1" applyAlignment="1">
      <alignment horizontal="center" vertical="top"/>
    </xf>
    <xf numFmtId="0" fontId="1" fillId="5" borderId="1" xfId="0" applyFont="1" applyFill="1" applyBorder="1" applyAlignment="1">
      <alignment horizontal="center" vertical="top"/>
    </xf>
    <xf numFmtId="0" fontId="1" fillId="6" borderId="1" xfId="0" applyFont="1" applyFill="1" applyBorder="1" applyAlignment="1">
      <alignment horizontal="center" vertical="top"/>
    </xf>
    <xf numFmtId="164" fontId="0" fillId="0" borderId="0" xfId="0" applyNumberFormat="1" applyAlignment="1">
      <alignment horizontal="center" vertical="center"/>
    </xf>
    <xf numFmtId="49" fontId="0" fillId="0" borderId="0" xfId="0" applyNumberFormat="1"/>
    <xf numFmtId="0" fontId="10" fillId="0" borderId="0" xfId="0" applyFont="1"/>
    <xf numFmtId="0" fontId="11" fillId="0" borderId="0" xfId="0" applyFont="1" applyAlignment="1">
      <alignment horizontal="left" vertical="center"/>
    </xf>
    <xf numFmtId="0" fontId="12" fillId="0" borderId="0" xfId="0" applyFont="1"/>
    <xf numFmtId="0" fontId="2" fillId="0" borderId="0" xfId="0" applyFont="1"/>
    <xf numFmtId="0" fontId="14" fillId="0" borderId="0" xfId="0" applyFont="1" applyAlignment="1">
      <alignment horizontal="right" vertical="center"/>
    </xf>
    <xf numFmtId="0" fontId="14" fillId="0" borderId="0" xfId="0" applyFont="1" applyAlignment="1">
      <alignment horizontal="center" vertical="center"/>
    </xf>
    <xf numFmtId="0" fontId="14" fillId="0" borderId="0" xfId="0" applyFont="1" applyAlignment="1">
      <alignment horizontal="center" vertical="center" wrapText="1"/>
    </xf>
    <xf numFmtId="49" fontId="2" fillId="0" borderId="0" xfId="0" applyNumberFormat="1" applyFont="1" applyAlignment="1">
      <alignment horizontal="center" vertical="center"/>
    </xf>
    <xf numFmtId="49" fontId="15" fillId="0" borderId="0" xfId="0" applyNumberFormat="1" applyFont="1" applyAlignment="1">
      <alignment horizontal="center" vertical="center"/>
    </xf>
    <xf numFmtId="0" fontId="15" fillId="0" borderId="0" xfId="0" applyFont="1" applyAlignment="1">
      <alignment horizontal="right" vertical="center"/>
    </xf>
    <xf numFmtId="0" fontId="16" fillId="0" borderId="0" xfId="0" applyFont="1"/>
    <xf numFmtId="0" fontId="15" fillId="0" borderId="0" xfId="0" applyFont="1" applyAlignment="1">
      <alignment horizontal="center" vertical="center"/>
    </xf>
    <xf numFmtId="0" fontId="0" fillId="0" borderId="0" xfId="0" applyAlignment="1">
      <alignment horizontal="right"/>
    </xf>
    <xf numFmtId="0" fontId="0" fillId="7" borderId="0" xfId="0" applyFill="1"/>
    <xf numFmtId="0" fontId="3" fillId="8" borderId="1" xfId="0" applyFont="1" applyFill="1" applyBorder="1" applyAlignment="1">
      <alignment horizontal="center" vertical="top"/>
    </xf>
    <xf numFmtId="0" fontId="3" fillId="7" borderId="1" xfId="0" applyFont="1" applyFill="1" applyBorder="1" applyAlignment="1">
      <alignment horizontal="center" vertical="top"/>
    </xf>
    <xf numFmtId="0" fontId="1" fillId="0" borderId="0" xfId="0" applyFont="1" applyAlignment="1">
      <alignment vertical="center"/>
    </xf>
    <xf numFmtId="0" fontId="0" fillId="0" borderId="0" xfId="0" applyAlignment="1">
      <alignment vertical="center"/>
    </xf>
    <xf numFmtId="0" fontId="3" fillId="10" borderId="1" xfId="0" applyFont="1" applyFill="1" applyBorder="1" applyAlignment="1">
      <alignment horizontal="center" vertical="top" wrapText="1"/>
    </xf>
    <xf numFmtId="0" fontId="3" fillId="10" borderId="1" xfId="0" applyFont="1" applyFill="1" applyBorder="1" applyAlignment="1">
      <alignment horizontal="center" vertical="top"/>
    </xf>
    <xf numFmtId="0" fontId="3" fillId="10" borderId="1" xfId="0" applyFont="1" applyFill="1" applyBorder="1" applyAlignment="1">
      <alignment horizontal="left" vertical="top" wrapText="1"/>
    </xf>
    <xf numFmtId="164" fontId="1" fillId="0" borderId="1" xfId="0" applyNumberFormat="1" applyFont="1" applyBorder="1" applyAlignment="1">
      <alignment horizontal="center" vertical="center"/>
    </xf>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vertical="center"/>
    </xf>
    <xf numFmtId="0" fontId="1" fillId="0" borderId="1" xfId="0" applyFont="1" applyBorder="1" applyAlignment="1">
      <alignment horizontal="left" vertical="center"/>
    </xf>
    <xf numFmtId="0" fontId="4" fillId="0" borderId="1" xfId="0" applyFont="1" applyBorder="1" applyAlignment="1">
      <alignment vertical="center"/>
    </xf>
    <xf numFmtId="0" fontId="1" fillId="7" borderId="1" xfId="0" applyFont="1" applyFill="1" applyBorder="1" applyAlignment="1">
      <alignment horizontal="center" vertical="center"/>
    </xf>
    <xf numFmtId="49" fontId="19" fillId="0" borderId="1" xfId="0" applyNumberFormat="1" applyFont="1" applyBorder="1" applyAlignment="1">
      <alignment vertical="center"/>
    </xf>
    <xf numFmtId="0" fontId="4" fillId="0" borderId="1" xfId="0" applyFont="1" applyBorder="1" applyAlignment="1">
      <alignment horizontal="center" vertical="center"/>
    </xf>
    <xf numFmtId="0" fontId="4" fillId="7" borderId="1" xfId="0" applyFont="1" applyFill="1" applyBorder="1" applyAlignment="1">
      <alignment vertical="center"/>
    </xf>
    <xf numFmtId="0" fontId="1" fillId="0" borderId="1" xfId="0" applyFont="1" applyBorder="1" applyAlignment="1">
      <alignment horizontal="right" vertical="center"/>
    </xf>
    <xf numFmtId="49" fontId="1" fillId="0" borderId="1" xfId="0" applyNumberFormat="1" applyFont="1" applyBorder="1" applyAlignment="1">
      <alignment vertical="center"/>
    </xf>
    <xf numFmtId="0" fontId="1" fillId="7" borderId="1" xfId="0" applyFont="1" applyFill="1" applyBorder="1" applyAlignment="1">
      <alignment vertical="center"/>
    </xf>
    <xf numFmtId="0" fontId="0" fillId="0" borderId="1" xfId="0" applyBorder="1" applyAlignment="1">
      <alignment vertical="center"/>
    </xf>
    <xf numFmtId="0" fontId="20" fillId="0" borderId="1" xfId="0" applyFont="1" applyBorder="1" applyAlignment="1">
      <alignment horizontal="right" vertical="center"/>
    </xf>
    <xf numFmtId="0" fontId="5" fillId="0" borderId="1" xfId="0" applyFont="1" applyBorder="1" applyAlignment="1">
      <alignment vertical="center"/>
    </xf>
    <xf numFmtId="0" fontId="5" fillId="7" borderId="1" xfId="0" applyFont="1" applyFill="1" applyBorder="1" applyAlignment="1">
      <alignment vertical="center"/>
    </xf>
    <xf numFmtId="0" fontId="6" fillId="0" borderId="1" xfId="0" applyFont="1" applyBorder="1" applyAlignment="1">
      <alignment horizontal="center" vertical="center"/>
    </xf>
    <xf numFmtId="0" fontId="6" fillId="7" borderId="1" xfId="0" applyFont="1" applyFill="1" applyBorder="1" applyAlignment="1">
      <alignment horizontal="center" vertical="center"/>
    </xf>
    <xf numFmtId="0" fontId="23" fillId="0" borderId="1" xfId="0" applyFont="1" applyBorder="1" applyAlignment="1">
      <alignment vertical="center"/>
    </xf>
    <xf numFmtId="0" fontId="22" fillId="9" borderId="1" xfId="0" applyFont="1" applyFill="1" applyBorder="1" applyAlignment="1">
      <alignment horizontal="right" vertical="center"/>
    </xf>
    <xf numFmtId="0" fontId="7" fillId="0" borderId="1" xfId="0" applyFont="1" applyBorder="1" applyAlignment="1">
      <alignment horizontal="center" vertical="center"/>
    </xf>
    <xf numFmtId="0" fontId="7" fillId="7" borderId="1" xfId="0" applyFont="1" applyFill="1" applyBorder="1" applyAlignment="1">
      <alignment horizontal="center" vertical="center"/>
    </xf>
    <xf numFmtId="49" fontId="1" fillId="0" borderId="1" xfId="0" applyNumberFormat="1" applyFont="1" applyBorder="1" applyAlignment="1">
      <alignment horizontal="right" vertical="center"/>
    </xf>
    <xf numFmtId="0" fontId="8" fillId="0" borderId="1" xfId="0" applyFont="1" applyBorder="1" applyAlignment="1">
      <alignment vertical="center"/>
    </xf>
    <xf numFmtId="164" fontId="8" fillId="0" borderId="1" xfId="0" applyNumberFormat="1" applyFont="1" applyBorder="1" applyAlignment="1">
      <alignment vertical="center"/>
    </xf>
    <xf numFmtId="0" fontId="8" fillId="7" borderId="1" xfId="0" applyFont="1" applyFill="1" applyBorder="1" applyAlignment="1">
      <alignment vertical="center"/>
    </xf>
    <xf numFmtId="0" fontId="8" fillId="0" borderId="1" xfId="0" applyFont="1" applyBorder="1" applyAlignment="1">
      <alignment vertical="center" wrapText="1"/>
    </xf>
    <xf numFmtId="0" fontId="8" fillId="0" borderId="1" xfId="0" applyFont="1" applyBorder="1" applyAlignment="1">
      <alignment vertical="top" wrapText="1"/>
    </xf>
    <xf numFmtId="0" fontId="8" fillId="7" borderId="1" xfId="0" applyFont="1" applyFill="1" applyBorder="1" applyAlignment="1">
      <alignment vertical="center" wrapText="1"/>
    </xf>
    <xf numFmtId="0" fontId="4" fillId="0" borderId="1" xfId="0" applyFont="1" applyBorder="1" applyAlignment="1">
      <alignment vertical="top" wrapText="1"/>
    </xf>
    <xf numFmtId="49" fontId="1" fillId="0" borderId="1" xfId="0" applyNumberFormat="1" applyFont="1" applyBorder="1" applyAlignment="1">
      <alignment horizontal="center" vertical="center"/>
    </xf>
    <xf numFmtId="0" fontId="26" fillId="0" borderId="1" xfId="0" applyFont="1" applyBorder="1" applyAlignment="1">
      <alignment horizontal="left" vertical="center"/>
    </xf>
    <xf numFmtId="0" fontId="21" fillId="0" borderId="1" xfId="0" applyFont="1" applyBorder="1" applyAlignment="1">
      <alignment horizontal="left" vertical="center"/>
    </xf>
    <xf numFmtId="0" fontId="6" fillId="0" borderId="1" xfId="0" applyFont="1" applyBorder="1" applyAlignment="1">
      <alignment horizontal="left" vertical="center"/>
    </xf>
    <xf numFmtId="0" fontId="6" fillId="7" borderId="1" xfId="0" applyFont="1" applyFill="1" applyBorder="1" applyAlignment="1">
      <alignment horizontal="left" vertical="center"/>
    </xf>
    <xf numFmtId="0" fontId="21" fillId="0" borderId="1" xfId="0" applyFont="1" applyBorder="1" applyAlignment="1">
      <alignment horizontal="center" vertical="center"/>
    </xf>
    <xf numFmtId="164" fontId="1" fillId="11" borderId="1" xfId="0" applyNumberFormat="1" applyFont="1" applyFill="1" applyBorder="1" applyAlignment="1">
      <alignment horizontal="center" vertical="center"/>
    </xf>
    <xf numFmtId="0" fontId="9" fillId="0" borderId="1" xfId="0" applyFont="1" applyBorder="1" applyAlignment="1">
      <alignment vertical="center"/>
    </xf>
    <xf numFmtId="164" fontId="9" fillId="0" borderId="1" xfId="0" applyNumberFormat="1" applyFont="1" applyBorder="1" applyAlignment="1">
      <alignment vertical="center"/>
    </xf>
    <xf numFmtId="0" fontId="9" fillId="7" borderId="1" xfId="0" applyFont="1" applyFill="1" applyBorder="1" applyAlignment="1">
      <alignment vertical="center"/>
    </xf>
    <xf numFmtId="0" fontId="0" fillId="0" borderId="1" xfId="0" applyBorder="1" applyAlignment="1">
      <alignment horizontal="center" vertical="center"/>
    </xf>
    <xf numFmtId="0" fontId="0" fillId="7" borderId="1" xfId="0" applyFill="1" applyBorder="1" applyAlignment="1">
      <alignment vertical="center"/>
    </xf>
    <xf numFmtId="0" fontId="19" fillId="7" borderId="1" xfId="0" applyFont="1" applyFill="1" applyBorder="1" applyAlignment="1">
      <alignment horizontal="center" vertical="center"/>
    </xf>
    <xf numFmtId="0" fontId="23" fillId="7" borderId="1" xfId="0" applyFont="1" applyFill="1" applyBorder="1" applyAlignment="1">
      <alignment horizontal="center" vertical="center"/>
    </xf>
    <xf numFmtId="0" fontId="19" fillId="4" borderId="2" xfId="0" applyFont="1" applyFill="1" applyBorder="1" applyAlignment="1">
      <alignment horizontal="center"/>
    </xf>
    <xf numFmtId="0" fontId="24" fillId="0" borderId="1" xfId="0" applyFont="1" applyBorder="1" applyAlignment="1">
      <alignment horizontal="center" vertical="center"/>
    </xf>
    <xf numFmtId="0" fontId="23" fillId="0" borderId="1" xfId="0" applyFont="1" applyBorder="1" applyAlignment="1">
      <alignment horizontal="center" vertical="center"/>
    </xf>
    <xf numFmtId="0" fontId="4" fillId="12" borderId="1" xfId="0" applyFont="1" applyFill="1" applyBorder="1" applyAlignment="1">
      <alignment vertical="center"/>
    </xf>
    <xf numFmtId="0" fontId="27" fillId="0" borderId="1" xfId="0" applyFont="1" applyBorder="1" applyAlignment="1">
      <alignment horizontal="center" vertical="center"/>
    </xf>
    <xf numFmtId="0" fontId="27" fillId="12" borderId="1" xfId="0" applyFont="1" applyFill="1" applyBorder="1" applyAlignment="1">
      <alignment horizontal="center" vertical="center"/>
    </xf>
    <xf numFmtId="0" fontId="23" fillId="0" borderId="1" xfId="0" applyFont="1" applyBorder="1" applyAlignment="1">
      <alignment horizontal="left" vertical="center"/>
    </xf>
    <xf numFmtId="0" fontId="3" fillId="13" borderId="1" xfId="0" applyFont="1" applyFill="1" applyBorder="1" applyAlignment="1">
      <alignment horizontal="center" vertical="top"/>
    </xf>
    <xf numFmtId="0" fontId="3" fillId="13" borderId="1" xfId="0" applyFont="1" applyFill="1" applyBorder="1" applyAlignment="1">
      <alignment horizontal="left" vertical="top" wrapText="1"/>
    </xf>
    <xf numFmtId="0" fontId="3" fillId="14" borderId="1" xfId="0" applyFont="1" applyFill="1" applyBorder="1" applyAlignment="1">
      <alignment horizontal="left" vertical="top"/>
    </xf>
    <xf numFmtId="0" fontId="1" fillId="14" borderId="1" xfId="0" applyFont="1" applyFill="1" applyBorder="1" applyAlignment="1">
      <alignment horizontal="center" vertical="top"/>
    </xf>
    <xf numFmtId="0" fontId="3" fillId="15" borderId="1" xfId="0" applyFont="1" applyFill="1" applyBorder="1" applyAlignment="1">
      <alignment horizontal="center" vertical="top"/>
    </xf>
    <xf numFmtId="0" fontId="3" fillId="15" borderId="1" xfId="0" applyFont="1" applyFill="1" applyBorder="1" applyAlignment="1">
      <alignment horizontal="center" vertical="top" wrapText="1"/>
    </xf>
    <xf numFmtId="0" fontId="28" fillId="0" borderId="0" xfId="0" applyFont="1"/>
    <xf numFmtId="0" fontId="28" fillId="0" borderId="0" xfId="0" applyFont="1" applyAlignment="1">
      <alignment horizontal="center" vertical="center"/>
    </xf>
    <xf numFmtId="0" fontId="29" fillId="0" borderId="0" xfId="0" applyFont="1"/>
    <xf numFmtId="0" fontId="30" fillId="0" borderId="0" xfId="0" applyFont="1" applyAlignment="1">
      <alignment vertical="center"/>
    </xf>
    <xf numFmtId="0" fontId="30" fillId="0" borderId="0" xfId="0" applyFont="1"/>
    <xf numFmtId="0" fontId="28" fillId="0" borderId="0" xfId="0" applyFont="1" applyAlignment="1">
      <alignment horizontal="right" vertical="center"/>
    </xf>
    <xf numFmtId="0" fontId="28" fillId="0" borderId="0" xfId="0" applyFont="1" applyAlignment="1">
      <alignment horizontal="right"/>
    </xf>
    <xf numFmtId="0" fontId="30" fillId="0" borderId="0" xfId="0" applyFont="1" applyAlignment="1">
      <alignment horizontal="left"/>
    </xf>
    <xf numFmtId="0" fontId="30" fillId="0" borderId="0" xfId="0" applyFont="1" applyAlignment="1">
      <alignment horizontal="left" vertical="center"/>
    </xf>
    <xf numFmtId="1" fontId="30" fillId="0" borderId="0" xfId="0" applyNumberFormat="1" applyFont="1" applyAlignment="1">
      <alignment horizontal="left" vertical="center"/>
    </xf>
    <xf numFmtId="0" fontId="31" fillId="0" borderId="0" xfId="0" applyFont="1" applyAlignment="1">
      <alignment horizontal="right" vertical="center"/>
    </xf>
    <xf numFmtId="0" fontId="31" fillId="0" borderId="0" xfId="0" applyFont="1" applyAlignment="1">
      <alignment horizontal="right"/>
    </xf>
    <xf numFmtId="0" fontId="30" fillId="0" borderId="0" xfId="0" applyFont="1" applyAlignment="1">
      <alignment horizontal="center" vertical="center"/>
    </xf>
    <xf numFmtId="0" fontId="28" fillId="0" borderId="0" xfId="0" applyFont="1" applyAlignment="1">
      <alignment horizontal="center"/>
    </xf>
    <xf numFmtId="0" fontId="33" fillId="0" borderId="1" xfId="0" applyFont="1" applyBorder="1" applyAlignment="1">
      <alignment horizontal="right" vertical="center"/>
    </xf>
    <xf numFmtId="0" fontId="34" fillId="0" borderId="0" xfId="0" applyFont="1" applyAlignment="1">
      <alignment vertical="center"/>
    </xf>
    <xf numFmtId="0" fontId="35" fillId="3" borderId="1" xfId="0" applyFont="1" applyFill="1" applyBorder="1" applyAlignment="1">
      <alignment horizontal="center" vertical="center"/>
    </xf>
    <xf numFmtId="0" fontId="34" fillId="0" borderId="0" xfId="0" applyFont="1" applyAlignment="1">
      <alignment horizontal="center" vertical="center"/>
    </xf>
    <xf numFmtId="0" fontId="33" fillId="0" borderId="1" xfId="0" applyFont="1" applyBorder="1" applyAlignment="1">
      <alignment horizontal="center" vertical="center"/>
    </xf>
    <xf numFmtId="0" fontId="36" fillId="0" borderId="1" xfId="0" applyFont="1" applyBorder="1" applyAlignment="1">
      <alignment horizontal="center" vertical="center"/>
    </xf>
    <xf numFmtId="0" fontId="37" fillId="0" borderId="1" xfId="0" applyFont="1" applyBorder="1" applyAlignment="1">
      <alignment horizontal="center" vertical="center"/>
    </xf>
    <xf numFmtId="0" fontId="38" fillId="0" borderId="1" xfId="0" applyFont="1" applyBorder="1" applyAlignment="1">
      <alignment horizontal="center" vertical="center"/>
    </xf>
    <xf numFmtId="0" fontId="32" fillId="3" borderId="1" xfId="0" applyFont="1" applyFill="1" applyBorder="1" applyAlignment="1">
      <alignment horizontal="center" vertical="top" wrapText="1"/>
    </xf>
    <xf numFmtId="0" fontId="19" fillId="0" borderId="1" xfId="0" applyFont="1" applyBorder="1" applyAlignment="1">
      <alignment vertical="center"/>
    </xf>
    <xf numFmtId="164" fontId="4" fillId="0" borderId="1" xfId="0" applyNumberFormat="1" applyFont="1" applyBorder="1" applyAlignment="1">
      <alignment vertical="center"/>
    </xf>
    <xf numFmtId="164" fontId="39" fillId="0" borderId="0" xfId="0" applyNumberFormat="1" applyFont="1" applyAlignment="1">
      <alignment horizontal="left" vertical="center"/>
    </xf>
    <xf numFmtId="0" fontId="1" fillId="0" borderId="1" xfId="0" applyFont="1" applyBorder="1" applyAlignment="1">
      <alignment horizontal="left" vertical="top"/>
    </xf>
    <xf numFmtId="0" fontId="3" fillId="16" borderId="1" xfId="0" applyFont="1" applyFill="1" applyBorder="1" applyAlignment="1">
      <alignment horizontal="left" vertical="top" wrapText="1"/>
    </xf>
    <xf numFmtId="0" fontId="23" fillId="2" borderId="4" xfId="0" applyFont="1" applyFill="1" applyBorder="1" applyAlignment="1">
      <alignment vertical="center"/>
    </xf>
    <xf numFmtId="0" fontId="23" fillId="2" borderId="2" xfId="0" applyFont="1" applyFill="1" applyBorder="1" applyAlignment="1">
      <alignment vertical="center"/>
    </xf>
    <xf numFmtId="0" fontId="23" fillId="2" borderId="3" xfId="0" applyFont="1" applyFill="1" applyBorder="1" applyAlignment="1">
      <alignment vertical="center"/>
    </xf>
    <xf numFmtId="0" fontId="39" fillId="16" borderId="2" xfId="0" applyFont="1" applyFill="1" applyBorder="1" applyAlignment="1">
      <alignment vertical="center"/>
    </xf>
    <xf numFmtId="0" fontId="0" fillId="0" borderId="0" xfId="0" applyAlignment="1">
      <alignment horizontal="left" vertical="center"/>
    </xf>
    <xf numFmtId="0" fontId="3" fillId="16" borderId="1" xfId="0" applyFont="1" applyFill="1" applyBorder="1" applyAlignment="1">
      <alignment horizontal="left" vertical="top"/>
    </xf>
    <xf numFmtId="0" fontId="0" fillId="0" borderId="1" xfId="0" applyBorder="1" applyAlignment="1">
      <alignment horizontal="left" vertical="center"/>
    </xf>
    <xf numFmtId="0" fontId="0" fillId="0" borderId="0" xfId="0" applyAlignment="1">
      <alignment horizontal="left" vertical="top"/>
    </xf>
    <xf numFmtId="0" fontId="0" fillId="0" borderId="1" xfId="0" applyBorder="1" applyAlignment="1">
      <alignment horizontal="left" vertical="top"/>
    </xf>
    <xf numFmtId="0" fontId="41" fillId="0" borderId="1" xfId="0" applyFont="1" applyBorder="1" applyAlignment="1">
      <alignment horizontal="center" vertical="center"/>
    </xf>
    <xf numFmtId="0" fontId="39" fillId="0" borderId="0" xfId="0" applyFont="1" applyAlignment="1">
      <alignment horizontal="center"/>
    </xf>
    <xf numFmtId="0" fontId="1" fillId="0" borderId="1" xfId="0" applyFont="1" applyBorder="1" applyAlignment="1">
      <alignment horizontal="fill" vertical="top"/>
    </xf>
    <xf numFmtId="0" fontId="0" fillId="0" borderId="0" xfId="0" applyAlignment="1">
      <alignment horizontal="fill" vertical="center"/>
    </xf>
    <xf numFmtId="0" fontId="0" fillId="0" borderId="0" xfId="0" applyAlignment="1">
      <alignment horizontal="fill"/>
    </xf>
    <xf numFmtId="0" fontId="1" fillId="0" borderId="1" xfId="0" applyFont="1" applyBorder="1" applyAlignment="1">
      <alignment horizontal="fill" vertical="center"/>
    </xf>
    <xf numFmtId="0" fontId="1" fillId="0" borderId="1" xfId="0" applyFont="1" applyBorder="1" applyAlignment="1">
      <alignment horizontal="fill"/>
    </xf>
    <xf numFmtId="0" fontId="0" fillId="0" borderId="1" xfId="0" applyBorder="1" applyAlignment="1">
      <alignment horizontal="fill" vertical="center"/>
    </xf>
    <xf numFmtId="0" fontId="0" fillId="0" borderId="1" xfId="0" applyBorder="1" applyAlignment="1">
      <alignment horizontal="fill"/>
    </xf>
    <xf numFmtId="0" fontId="19" fillId="0" borderId="1" xfId="0" applyFont="1" applyBorder="1" applyAlignment="1">
      <alignment horizontal="left" vertical="center"/>
    </xf>
    <xf numFmtId="0" fontId="1" fillId="0" borderId="1" xfId="0" applyFont="1" applyBorder="1"/>
    <xf numFmtId="164" fontId="40" fillId="0" borderId="1" xfId="0" applyNumberFormat="1" applyFont="1" applyBorder="1" applyAlignment="1">
      <alignment horizontal="center" vertical="top" wrapText="1"/>
    </xf>
    <xf numFmtId="0" fontId="0" fillId="0" borderId="0" xfId="0" applyAlignment="1">
      <alignment vertical="top" wrapText="1"/>
    </xf>
    <xf numFmtId="0" fontId="3" fillId="16" borderId="1" xfId="0" applyFont="1" applyFill="1" applyBorder="1" applyAlignment="1">
      <alignment vertical="top" wrapText="1"/>
    </xf>
    <xf numFmtId="0" fontId="1" fillId="0" borderId="1" xfId="0" applyFont="1" applyBorder="1" applyAlignment="1">
      <alignment vertical="top"/>
    </xf>
    <xf numFmtId="0" fontId="36" fillId="0" borderId="0" xfId="0" applyFont="1" applyAlignment="1">
      <alignment horizontal="center" vertical="center"/>
    </xf>
    <xf numFmtId="0" fontId="36" fillId="0" borderId="0" xfId="0" applyFont="1" applyAlignment="1">
      <alignment vertical="center"/>
    </xf>
    <xf numFmtId="0" fontId="25" fillId="13" borderId="4" xfId="0" applyFont="1" applyFill="1" applyBorder="1" applyAlignment="1">
      <alignment vertical="top"/>
    </xf>
    <xf numFmtId="0" fontId="25" fillId="13" borderId="2" xfId="0" applyFont="1" applyFill="1" applyBorder="1" applyAlignment="1">
      <alignment vertical="top"/>
    </xf>
    <xf numFmtId="0" fontId="36" fillId="0" borderId="0" xfId="0" applyFont="1"/>
    <xf numFmtId="0" fontId="3" fillId="16" borderId="1" xfId="0" applyFont="1" applyFill="1" applyBorder="1" applyAlignment="1">
      <alignment horizontal="center" vertical="top" wrapText="1"/>
    </xf>
    <xf numFmtId="0" fontId="43" fillId="0" borderId="1" xfId="0" applyFont="1" applyBorder="1" applyAlignment="1">
      <alignment vertical="top"/>
    </xf>
    <xf numFmtId="0" fontId="21" fillId="0" borderId="1" xfId="0" applyFont="1" applyBorder="1" applyAlignment="1">
      <alignment vertical="center"/>
    </xf>
    <xf numFmtId="0" fontId="1" fillId="0" borderId="0" xfId="0" applyFont="1" applyAlignment="1">
      <alignment vertical="top" wrapText="1"/>
    </xf>
    <xf numFmtId="0" fontId="40" fillId="0" borderId="1" xfId="0" applyFont="1" applyBorder="1" applyAlignment="1">
      <alignment horizontal="center" vertical="center" wrapText="1"/>
    </xf>
    <xf numFmtId="49" fontId="40" fillId="0" borderId="1" xfId="0" applyNumberFormat="1" applyFont="1" applyBorder="1" applyAlignment="1">
      <alignment horizontal="center" vertical="center" wrapText="1"/>
    </xf>
    <xf numFmtId="49" fontId="42" fillId="0" borderId="1" xfId="0" applyNumberFormat="1" applyFont="1" applyBorder="1" applyAlignment="1">
      <alignment horizontal="center" vertical="center" wrapText="1"/>
    </xf>
    <xf numFmtId="0" fontId="19" fillId="2" borderId="3" xfId="0" applyFont="1" applyFill="1" applyBorder="1" applyAlignment="1">
      <alignment horizontal="center" vertical="center"/>
    </xf>
    <xf numFmtId="164" fontId="1" fillId="0" borderId="0" xfId="0" applyNumberFormat="1" applyFont="1" applyAlignment="1">
      <alignment horizontal="center" vertical="center"/>
    </xf>
    <xf numFmtId="164" fontId="1" fillId="0" borderId="0" xfId="0" applyNumberFormat="1" applyFont="1" applyAlignment="1">
      <alignment vertical="center"/>
    </xf>
    <xf numFmtId="0" fontId="0" fillId="0" borderId="1" xfId="0" applyBorder="1"/>
    <xf numFmtId="0" fontId="44" fillId="0" borderId="0" xfId="0" applyFont="1"/>
    <xf numFmtId="0" fontId="45" fillId="0" borderId="0" xfId="0" applyFont="1"/>
    <xf numFmtId="0" fontId="46" fillId="0" borderId="0" xfId="0" applyFont="1"/>
    <xf numFmtId="0" fontId="1" fillId="0" borderId="0" xfId="0" applyFont="1" applyAlignment="1">
      <alignment horizontal="left" vertical="center"/>
    </xf>
    <xf numFmtId="0" fontId="40" fillId="0" borderId="0" xfId="0" applyFont="1" applyAlignment="1">
      <alignment horizontal="center"/>
    </xf>
    <xf numFmtId="0" fontId="0" fillId="0" borderId="0" xfId="0" applyAlignment="1">
      <alignment horizontal="left"/>
    </xf>
    <xf numFmtId="0" fontId="23" fillId="6" borderId="1" xfId="0" applyFont="1" applyFill="1" applyBorder="1" applyAlignment="1">
      <alignment horizontal="center"/>
    </xf>
    <xf numFmtId="0" fontId="23" fillId="14" borderId="4" xfId="0" applyFont="1" applyFill="1" applyBorder="1" applyAlignment="1">
      <alignment horizontal="center" vertical="center"/>
    </xf>
    <xf numFmtId="0" fontId="23" fillId="14" borderId="2" xfId="0" applyFont="1" applyFill="1" applyBorder="1" applyAlignment="1">
      <alignment horizontal="center" vertical="center"/>
    </xf>
    <xf numFmtId="0" fontId="23" fillId="14" borderId="3" xfId="0" applyFont="1" applyFill="1" applyBorder="1" applyAlignment="1">
      <alignment horizontal="center" vertical="center"/>
    </xf>
    <xf numFmtId="0" fontId="23" fillId="15" borderId="1" xfId="0" applyFont="1" applyFill="1" applyBorder="1" applyAlignment="1">
      <alignment horizontal="center" vertical="center"/>
    </xf>
    <xf numFmtId="0" fontId="23" fillId="3" borderId="1" xfId="0" applyFont="1" applyFill="1" applyBorder="1" applyAlignment="1">
      <alignment horizontal="center" vertical="center"/>
    </xf>
    <xf numFmtId="0" fontId="23" fillId="4" borderId="1" xfId="0" applyFont="1" applyFill="1" applyBorder="1" applyAlignment="1">
      <alignment horizontal="center"/>
    </xf>
    <xf numFmtId="0" fontId="23" fillId="5" borderId="3" xfId="0" applyFont="1" applyFill="1" applyBorder="1" applyAlignment="1">
      <alignment horizontal="center"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cellXfs>
  <cellStyles count="1">
    <cellStyle name="Normal" xfId="0" builtinId="0"/>
  </cellStyles>
  <dxfs count="37">
    <dxf>
      <fill>
        <patternFill>
          <bgColor theme="5" tint="0.79998168889431442"/>
        </patternFill>
      </fill>
    </dxf>
    <dxf>
      <fill>
        <patternFill>
          <bgColor theme="2" tint="-9.9948118533890809E-2"/>
        </patternFill>
      </fill>
    </dxf>
    <dxf>
      <font>
        <color theme="0" tint="-0.34998626667073579"/>
      </font>
      <fill>
        <patternFill>
          <bgColor theme="0" tint="-4.9989318521683403E-2"/>
        </patternFill>
      </fill>
    </dxf>
    <dxf>
      <font>
        <b/>
        <i val="0"/>
        <color theme="0"/>
      </font>
      <fill>
        <patternFill>
          <bgColor theme="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rgb="FFCFFFFF"/>
        </patternFill>
      </fill>
    </dxf>
    <dxf>
      <fill>
        <patternFill>
          <bgColor rgb="FFF8D4F8"/>
        </patternFill>
      </fill>
    </dxf>
    <dxf>
      <fill>
        <patternFill>
          <bgColor rgb="FFFFF97F"/>
        </patternFill>
      </fill>
    </dxf>
    <dxf>
      <font>
        <strike/>
        <color rgb="FFC00000"/>
      </font>
      <fill>
        <patternFill>
          <bgColor rgb="FFFFACAE"/>
        </patternFill>
      </fill>
    </dxf>
    <dxf>
      <fill>
        <patternFill>
          <bgColor theme="5" tint="0.79998168889431442"/>
        </patternFill>
      </fill>
    </dxf>
    <dxf>
      <fill>
        <patternFill>
          <bgColor theme="2" tint="-9.9948118533890809E-2"/>
        </patternFill>
      </fill>
    </dxf>
    <dxf>
      <font>
        <color theme="0" tint="-0.34998626667073579"/>
      </font>
      <fill>
        <patternFill>
          <bgColor theme="0" tint="-4.9989318521683403E-2"/>
        </patternFill>
      </fill>
    </dxf>
    <dxf>
      <font>
        <b/>
        <i val="0"/>
        <color theme="0"/>
      </font>
      <fill>
        <patternFill>
          <bgColor theme="1"/>
        </patternFill>
      </fill>
    </dxf>
    <dxf>
      <fill>
        <patternFill>
          <bgColor theme="9" tint="0.79998168889431442"/>
        </patternFill>
      </fill>
    </dxf>
    <dxf>
      <fill>
        <patternFill>
          <bgColor rgb="FFFFF97F"/>
        </patternFill>
      </fill>
    </dxf>
    <dxf>
      <font>
        <strike/>
        <color rgb="FFC00000"/>
      </font>
      <fill>
        <patternFill>
          <bgColor rgb="FFFFACAE"/>
        </patternFill>
      </fill>
    </dxf>
    <dxf>
      <font>
        <b/>
        <i val="0"/>
        <strike val="0"/>
        <color theme="0"/>
      </font>
      <fill>
        <patternFill>
          <bgColor theme="5" tint="-0.2499465926084170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rgb="FFCFFFFF"/>
        </patternFill>
      </fill>
    </dxf>
    <dxf>
      <fill>
        <patternFill>
          <bgColor rgb="FFF8D4F8"/>
        </patternFill>
      </fill>
    </dxf>
    <dxf>
      <fill>
        <patternFill>
          <bgColor theme="5" tint="0.79998168889431442"/>
        </patternFill>
      </fill>
    </dxf>
    <dxf>
      <fill>
        <patternFill>
          <bgColor theme="2" tint="-9.9948118533890809E-2"/>
        </patternFill>
      </fill>
    </dxf>
    <dxf>
      <font>
        <color theme="0" tint="-0.34998626667073579"/>
      </font>
      <fill>
        <patternFill>
          <bgColor theme="0" tint="-4.9989318521683403E-2"/>
        </patternFill>
      </fill>
    </dxf>
    <dxf>
      <font>
        <b/>
        <i val="0"/>
        <color theme="0"/>
      </font>
      <fill>
        <patternFill>
          <bgColor theme="1"/>
        </patternFill>
      </fill>
    </dxf>
    <dxf>
      <fill>
        <patternFill>
          <bgColor theme="9" tint="0.79998168889431442"/>
        </patternFill>
      </fill>
    </dxf>
    <dxf>
      <fill>
        <patternFill>
          <bgColor rgb="FFFFF97F"/>
        </patternFill>
      </fill>
    </dxf>
    <dxf>
      <font>
        <strike/>
        <color rgb="FFC00000"/>
      </font>
      <fill>
        <patternFill>
          <bgColor rgb="FFFFACAE"/>
        </patternFill>
      </fill>
    </dxf>
    <dxf>
      <font>
        <b/>
        <i val="0"/>
        <strike val="0"/>
        <color theme="0"/>
      </font>
      <fill>
        <patternFill>
          <bgColor theme="5" tint="-0.2499465926084170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rgb="FFCFFFFF"/>
        </patternFill>
      </fill>
    </dxf>
    <dxf>
      <fill>
        <patternFill>
          <bgColor rgb="FFF8D4F8"/>
        </patternFill>
      </fill>
    </dxf>
  </dxfs>
  <tableStyles count="0" defaultTableStyle="TableStyleMedium2" defaultPivotStyle="PivotStyleLight16"/>
  <colors>
    <indexedColors>
      <rgbColor rgb="FF000000"/>
      <rgbColor rgb="FFFBE5D6"/>
      <rgbColor rgb="FFFF0000"/>
      <rgbColor rgb="FF00FF00"/>
      <rgbColor rgb="FF0000FF"/>
      <rgbColor rgb="FFFFFF00"/>
      <rgbColor rgb="FFFF00FF"/>
      <rgbColor rgb="FF00FFFF"/>
      <rgbColor rgb="FF800000"/>
      <rgbColor rgb="FF008000"/>
      <rgbColor rgb="FF080808"/>
      <rgbColor rgb="FF548235"/>
      <rgbColor rgb="FF800080"/>
      <rgbColor rgb="FF008080"/>
      <rgbColor rgb="FF9BC2E6"/>
      <rgbColor rgb="FF808080"/>
      <rgbColor rgb="FF9999FF"/>
      <rgbColor rgb="FF993366"/>
      <rgbColor rgb="FFFFF2CC"/>
      <rgbColor rgb="FFDEEBF7"/>
      <rgbColor rgb="FF660066"/>
      <rgbColor rgb="FFFF8080"/>
      <rgbColor rgb="FF0066CC"/>
      <rgbColor rgb="FFDAE3F3"/>
      <rgbColor rgb="FF000080"/>
      <rgbColor rgb="FFFF00FF"/>
      <rgbColor rgb="FFFFFF00"/>
      <rgbColor rgb="FF00FFFF"/>
      <rgbColor rgb="FF800080"/>
      <rgbColor rgb="FF800000"/>
      <rgbColor rgb="FF008080"/>
      <rgbColor rgb="FF0000FF"/>
      <rgbColor rgb="FF00CCFF"/>
      <rgbColor rgb="FFCCFFFF"/>
      <rgbColor rgb="FFE2F0D9"/>
      <rgbColor rgb="FFFFFF99"/>
      <rgbColor rgb="FF9DC3E6"/>
      <rgbColor rgb="FFF4B183"/>
      <rgbColor rgb="FFCC99FF"/>
      <rgbColor rgb="FFFFCC99"/>
      <rgbColor rgb="FF3366FF"/>
      <rgbColor rgb="FF33CCCC"/>
      <rgbColor rgb="FFA9D18E"/>
      <rgbColor rgb="FFFFCC00"/>
      <rgbColor rgb="FFFF9900"/>
      <rgbColor rgb="FFC55A11"/>
      <rgbColor rgb="FF666699"/>
      <rgbColor rgb="FFA6A6A6"/>
      <rgbColor rgb="FF003366"/>
      <rgbColor rgb="FF339966"/>
      <rgbColor rgb="FF161616"/>
      <rgbColor rgb="FF385724"/>
      <rgbColor rgb="FF993300"/>
      <rgbColor rgb="FF993366"/>
      <rgbColor rgb="FF333399"/>
      <rgbColor rgb="FF1F2328"/>
      <rgbColor rgb="00003366"/>
      <rgbColor rgb="00339966"/>
      <rgbColor rgb="00003300"/>
      <rgbColor rgb="00333300"/>
      <rgbColor rgb="00993300"/>
      <rgbColor rgb="00993366"/>
      <rgbColor rgb="00333399"/>
      <rgbColor rgb="00333333"/>
    </indexedColors>
    <mruColors>
      <color rgb="FFF8D4F8"/>
      <color rgb="FFCFFFFF"/>
      <color rgb="FFFFCA7F"/>
      <color rgb="FFFF9300"/>
      <color rgb="FFFFACAE"/>
      <color rgb="FFFFF97F"/>
      <color rgb="FFC59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checked="Checked" fmlaLink="Settings!$B$2"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Settings!$B$4" lockText="1" noThreeD="1"/>
</file>

<file path=xl/ctrlProps/ctrlProp52.xml><?xml version="1.0" encoding="utf-8"?>
<formControlPr xmlns="http://schemas.microsoft.com/office/spreadsheetml/2009/9/main" objectType="CheckBox" fmlaLink="Settings!$B$3"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5</xdr:row>
          <xdr:rowOff>12700</xdr:rowOff>
        </xdr:from>
        <xdr:to>
          <xdr:col>20</xdr:col>
          <xdr:colOff>304800</xdr:colOff>
          <xdr:row>5</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xdr:row>
          <xdr:rowOff>12700</xdr:rowOff>
        </xdr:from>
        <xdr:to>
          <xdr:col>20</xdr:col>
          <xdr:colOff>304800</xdr:colOff>
          <xdr:row>16</xdr:row>
          <xdr:rowOff>177800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18</xdr:row>
          <xdr:rowOff>12700</xdr:rowOff>
        </xdr:from>
        <xdr:to>
          <xdr:col>20</xdr:col>
          <xdr:colOff>304800</xdr:colOff>
          <xdr:row>18</xdr:row>
          <xdr:rowOff>177800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19</xdr:row>
          <xdr:rowOff>12700</xdr:rowOff>
        </xdr:from>
        <xdr:to>
          <xdr:col>20</xdr:col>
          <xdr:colOff>304800</xdr:colOff>
          <xdr:row>19</xdr:row>
          <xdr:rowOff>177800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32</xdr:row>
          <xdr:rowOff>12700</xdr:rowOff>
        </xdr:from>
        <xdr:to>
          <xdr:col>20</xdr:col>
          <xdr:colOff>304800</xdr:colOff>
          <xdr:row>32</xdr:row>
          <xdr:rowOff>177800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34</xdr:row>
          <xdr:rowOff>12700</xdr:rowOff>
        </xdr:from>
        <xdr:to>
          <xdr:col>20</xdr:col>
          <xdr:colOff>304800</xdr:colOff>
          <xdr:row>34</xdr:row>
          <xdr:rowOff>177800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50</xdr:row>
          <xdr:rowOff>12700</xdr:rowOff>
        </xdr:from>
        <xdr:to>
          <xdr:col>20</xdr:col>
          <xdr:colOff>304800</xdr:colOff>
          <xdr:row>50</xdr:row>
          <xdr:rowOff>177800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54</xdr:row>
          <xdr:rowOff>12700</xdr:rowOff>
        </xdr:from>
        <xdr:to>
          <xdr:col>20</xdr:col>
          <xdr:colOff>304800</xdr:colOff>
          <xdr:row>54</xdr:row>
          <xdr:rowOff>177800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38</xdr:row>
          <xdr:rowOff>12700</xdr:rowOff>
        </xdr:from>
        <xdr:to>
          <xdr:col>20</xdr:col>
          <xdr:colOff>304800</xdr:colOff>
          <xdr:row>38</xdr:row>
          <xdr:rowOff>177800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40</xdr:row>
          <xdr:rowOff>12700</xdr:rowOff>
        </xdr:from>
        <xdr:to>
          <xdr:col>20</xdr:col>
          <xdr:colOff>304800</xdr:colOff>
          <xdr:row>40</xdr:row>
          <xdr:rowOff>177800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96</xdr:row>
          <xdr:rowOff>12700</xdr:rowOff>
        </xdr:from>
        <xdr:to>
          <xdr:col>20</xdr:col>
          <xdr:colOff>304800</xdr:colOff>
          <xdr:row>96</xdr:row>
          <xdr:rowOff>177800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90</xdr:row>
          <xdr:rowOff>12700</xdr:rowOff>
        </xdr:from>
        <xdr:to>
          <xdr:col>20</xdr:col>
          <xdr:colOff>304800</xdr:colOff>
          <xdr:row>90</xdr:row>
          <xdr:rowOff>177800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93</xdr:row>
          <xdr:rowOff>12700</xdr:rowOff>
        </xdr:from>
        <xdr:to>
          <xdr:col>20</xdr:col>
          <xdr:colOff>304800</xdr:colOff>
          <xdr:row>93</xdr:row>
          <xdr:rowOff>177800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99</xdr:row>
          <xdr:rowOff>12700</xdr:rowOff>
        </xdr:from>
        <xdr:to>
          <xdr:col>20</xdr:col>
          <xdr:colOff>304800</xdr:colOff>
          <xdr:row>99</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104</xdr:row>
          <xdr:rowOff>12700</xdr:rowOff>
        </xdr:from>
        <xdr:to>
          <xdr:col>20</xdr:col>
          <xdr:colOff>304800</xdr:colOff>
          <xdr:row>104</xdr:row>
          <xdr:rowOff>177800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106</xdr:row>
          <xdr:rowOff>12700</xdr:rowOff>
        </xdr:from>
        <xdr:to>
          <xdr:col>20</xdr:col>
          <xdr:colOff>304800</xdr:colOff>
          <xdr:row>106</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116</xdr:row>
          <xdr:rowOff>12700</xdr:rowOff>
        </xdr:from>
        <xdr:to>
          <xdr:col>20</xdr:col>
          <xdr:colOff>304800</xdr:colOff>
          <xdr:row>116</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118</xdr:row>
          <xdr:rowOff>12700</xdr:rowOff>
        </xdr:from>
        <xdr:to>
          <xdr:col>20</xdr:col>
          <xdr:colOff>304800</xdr:colOff>
          <xdr:row>118</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119</xdr:row>
          <xdr:rowOff>12700</xdr:rowOff>
        </xdr:from>
        <xdr:to>
          <xdr:col>20</xdr:col>
          <xdr:colOff>304800</xdr:colOff>
          <xdr:row>119</xdr:row>
          <xdr:rowOff>177800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74</xdr:row>
          <xdr:rowOff>12700</xdr:rowOff>
        </xdr:from>
        <xdr:to>
          <xdr:col>20</xdr:col>
          <xdr:colOff>304800</xdr:colOff>
          <xdr:row>74</xdr:row>
          <xdr:rowOff>177800</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76</xdr:row>
          <xdr:rowOff>12700</xdr:rowOff>
        </xdr:from>
        <xdr:to>
          <xdr:col>20</xdr:col>
          <xdr:colOff>304800</xdr:colOff>
          <xdr:row>76</xdr:row>
          <xdr:rowOff>177800</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78</xdr:row>
          <xdr:rowOff>12700</xdr:rowOff>
        </xdr:from>
        <xdr:to>
          <xdr:col>20</xdr:col>
          <xdr:colOff>304800</xdr:colOff>
          <xdr:row>78</xdr:row>
          <xdr:rowOff>177800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22</xdr:row>
          <xdr:rowOff>12700</xdr:rowOff>
        </xdr:from>
        <xdr:to>
          <xdr:col>20</xdr:col>
          <xdr:colOff>304800</xdr:colOff>
          <xdr:row>22</xdr:row>
          <xdr:rowOff>177800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25</xdr:row>
          <xdr:rowOff>12700</xdr:rowOff>
        </xdr:from>
        <xdr:to>
          <xdr:col>20</xdr:col>
          <xdr:colOff>304800</xdr:colOff>
          <xdr:row>25</xdr:row>
          <xdr:rowOff>177800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30</xdr:row>
          <xdr:rowOff>12700</xdr:rowOff>
        </xdr:from>
        <xdr:to>
          <xdr:col>20</xdr:col>
          <xdr:colOff>304800</xdr:colOff>
          <xdr:row>30</xdr:row>
          <xdr:rowOff>177800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110</xdr:row>
          <xdr:rowOff>12700</xdr:rowOff>
        </xdr:from>
        <xdr:to>
          <xdr:col>20</xdr:col>
          <xdr:colOff>304800</xdr:colOff>
          <xdr:row>110</xdr:row>
          <xdr:rowOff>177800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play</a:t>
              </a:r>
            </a:p>
            <a:p>
              <a:pPr algn="ctr" rtl="0">
                <a:defRPr sz="1000"/>
              </a:pPr>
              <a:endParaRPr lang="en-GB" sz="1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112</xdr:row>
          <xdr:rowOff>12700</xdr:rowOff>
        </xdr:from>
        <xdr:to>
          <xdr:col>20</xdr:col>
          <xdr:colOff>304800</xdr:colOff>
          <xdr:row>112</xdr:row>
          <xdr:rowOff>177800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play</a:t>
              </a:r>
            </a:p>
            <a:p>
              <a:pPr algn="ctr" rtl="0">
                <a:defRPr sz="1000"/>
              </a:pPr>
              <a:endParaRPr lang="en-GB" sz="1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114</xdr:row>
          <xdr:rowOff>12700</xdr:rowOff>
        </xdr:from>
        <xdr:to>
          <xdr:col>20</xdr:col>
          <xdr:colOff>304800</xdr:colOff>
          <xdr:row>114</xdr:row>
          <xdr:rowOff>177800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play</a:t>
              </a:r>
            </a:p>
            <a:p>
              <a:pPr algn="ctr" rtl="0">
                <a:defRPr sz="1000"/>
              </a:pPr>
              <a:endParaRPr lang="en-GB" sz="1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120</xdr:row>
          <xdr:rowOff>12700</xdr:rowOff>
        </xdr:from>
        <xdr:to>
          <xdr:col>20</xdr:col>
          <xdr:colOff>304800</xdr:colOff>
          <xdr:row>120</xdr:row>
          <xdr:rowOff>177800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do</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72</xdr:row>
          <xdr:rowOff>12700</xdr:rowOff>
        </xdr:from>
        <xdr:to>
          <xdr:col>20</xdr:col>
          <xdr:colOff>304800</xdr:colOff>
          <xdr:row>72</xdr:row>
          <xdr:rowOff>177800</xdr:rowOff>
        </xdr:to>
        <xdr:sp macro="" textlink="">
          <xdr:nvSpPr>
            <xdr:cNvPr id="1268" name="Button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make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36</xdr:row>
          <xdr:rowOff>12700</xdr:rowOff>
        </xdr:from>
        <xdr:to>
          <xdr:col>20</xdr:col>
          <xdr:colOff>304800</xdr:colOff>
          <xdr:row>36</xdr:row>
          <xdr:rowOff>177800</xdr:rowOff>
        </xdr:to>
        <xdr:sp macro="" textlink="">
          <xdr:nvSpPr>
            <xdr:cNvPr id="1270" name="Button 246" hidden="1">
              <a:extLst>
                <a:ext uri="{63B3BB69-23CF-44E3-9099-C40C66FF867C}">
                  <a14:compatExt spid="_x0000_s1270"/>
                </a:ext>
                <a:ext uri="{FF2B5EF4-FFF2-40B4-BE49-F238E27FC236}">
                  <a16:creationId xmlns:a16="http://schemas.microsoft.com/office/drawing/2014/main" id="{00000000-0008-0000-0000-0000F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48</xdr:row>
          <xdr:rowOff>12700</xdr:rowOff>
        </xdr:from>
        <xdr:to>
          <xdr:col>20</xdr:col>
          <xdr:colOff>304800</xdr:colOff>
          <xdr:row>48</xdr:row>
          <xdr:rowOff>177800</xdr:rowOff>
        </xdr:to>
        <xdr:sp macro="" textlink="">
          <xdr:nvSpPr>
            <xdr:cNvPr id="1271" name="Button 247" hidden="1">
              <a:extLst>
                <a:ext uri="{63B3BB69-23CF-44E3-9099-C40C66FF867C}">
                  <a14:compatExt spid="_x0000_s1271"/>
                </a:ext>
                <a:ext uri="{FF2B5EF4-FFF2-40B4-BE49-F238E27FC236}">
                  <a16:creationId xmlns:a16="http://schemas.microsoft.com/office/drawing/2014/main" id="{00000000-0008-0000-0000-0000F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64</xdr:row>
          <xdr:rowOff>12700</xdr:rowOff>
        </xdr:from>
        <xdr:to>
          <xdr:col>20</xdr:col>
          <xdr:colOff>304800</xdr:colOff>
          <xdr:row>64</xdr:row>
          <xdr:rowOff>177800</xdr:rowOff>
        </xdr:to>
        <xdr:sp macro="" textlink="">
          <xdr:nvSpPr>
            <xdr:cNvPr id="1272" name="Button 248" hidden="1">
              <a:extLst>
                <a:ext uri="{63B3BB69-23CF-44E3-9099-C40C66FF867C}">
                  <a14:compatExt spid="_x0000_s1272"/>
                </a:ext>
                <a:ext uri="{FF2B5EF4-FFF2-40B4-BE49-F238E27FC236}">
                  <a16:creationId xmlns:a16="http://schemas.microsoft.com/office/drawing/2014/main" id="{00000000-0008-0000-0000-0000F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66</xdr:row>
          <xdr:rowOff>12700</xdr:rowOff>
        </xdr:from>
        <xdr:to>
          <xdr:col>20</xdr:col>
          <xdr:colOff>304800</xdr:colOff>
          <xdr:row>66</xdr:row>
          <xdr:rowOff>177800</xdr:rowOff>
        </xdr:to>
        <xdr:sp macro="" textlink="">
          <xdr:nvSpPr>
            <xdr:cNvPr id="1273" name="Button 249" hidden="1">
              <a:extLst>
                <a:ext uri="{63B3BB69-23CF-44E3-9099-C40C66FF867C}">
                  <a14:compatExt spid="_x0000_s1273"/>
                </a:ext>
                <a:ext uri="{FF2B5EF4-FFF2-40B4-BE49-F238E27FC236}">
                  <a16:creationId xmlns:a16="http://schemas.microsoft.com/office/drawing/2014/main" id="{00000000-0008-0000-0000-0000F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79</xdr:row>
          <xdr:rowOff>12700</xdr:rowOff>
        </xdr:from>
        <xdr:to>
          <xdr:col>20</xdr:col>
          <xdr:colOff>304800</xdr:colOff>
          <xdr:row>79</xdr:row>
          <xdr:rowOff>177800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81</xdr:row>
          <xdr:rowOff>12700</xdr:rowOff>
        </xdr:from>
        <xdr:to>
          <xdr:col>20</xdr:col>
          <xdr:colOff>304800</xdr:colOff>
          <xdr:row>81</xdr:row>
          <xdr:rowOff>177800</xdr:rowOff>
        </xdr:to>
        <xdr:sp macro="" textlink="">
          <xdr:nvSpPr>
            <xdr:cNvPr id="1275" name="Button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85</xdr:row>
          <xdr:rowOff>12700</xdr:rowOff>
        </xdr:from>
        <xdr:to>
          <xdr:col>20</xdr:col>
          <xdr:colOff>304800</xdr:colOff>
          <xdr:row>85</xdr:row>
          <xdr:rowOff>177800</xdr:rowOff>
        </xdr:to>
        <xdr:sp macro="" textlink="">
          <xdr:nvSpPr>
            <xdr:cNvPr id="1276" name="Button 252" hidden="1">
              <a:extLst>
                <a:ext uri="{63B3BB69-23CF-44E3-9099-C40C66FF867C}">
                  <a14:compatExt spid="_x0000_s1276"/>
                </a:ext>
                <a:ext uri="{FF2B5EF4-FFF2-40B4-BE49-F238E27FC236}">
                  <a16:creationId xmlns:a16="http://schemas.microsoft.com/office/drawing/2014/main" id="{00000000-0008-0000-0000-0000F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87</xdr:row>
          <xdr:rowOff>12700</xdr:rowOff>
        </xdr:from>
        <xdr:to>
          <xdr:col>20</xdr:col>
          <xdr:colOff>304800</xdr:colOff>
          <xdr:row>87</xdr:row>
          <xdr:rowOff>177800</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0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89</xdr:row>
          <xdr:rowOff>12700</xdr:rowOff>
        </xdr:from>
        <xdr:to>
          <xdr:col>20</xdr:col>
          <xdr:colOff>304800</xdr:colOff>
          <xdr:row>89</xdr:row>
          <xdr:rowOff>177800</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0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98</xdr:row>
          <xdr:rowOff>12700</xdr:rowOff>
        </xdr:from>
        <xdr:to>
          <xdr:col>20</xdr:col>
          <xdr:colOff>304800</xdr:colOff>
          <xdr:row>98</xdr:row>
          <xdr:rowOff>177800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0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108</xdr:row>
          <xdr:rowOff>12700</xdr:rowOff>
        </xdr:from>
        <xdr:to>
          <xdr:col>20</xdr:col>
          <xdr:colOff>304800</xdr:colOff>
          <xdr:row>108</xdr:row>
          <xdr:rowOff>177800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0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0</xdr:row>
          <xdr:rowOff>88900</xdr:rowOff>
        </xdr:from>
        <xdr:to>
          <xdr:col>10</xdr:col>
          <xdr:colOff>50800</xdr:colOff>
          <xdr:row>0</xdr:row>
          <xdr:rowOff>342900</xdr:rowOff>
        </xdr:to>
        <xdr:sp macro="" textlink="">
          <xdr:nvSpPr>
            <xdr:cNvPr id="1339" name="Check Box 315" hidden="1">
              <a:extLst>
                <a:ext uri="{63B3BB69-23CF-44E3-9099-C40C66FF867C}">
                  <a14:compatExt spid="_x0000_s1339"/>
                </a:ext>
                <a:ext uri="{FF2B5EF4-FFF2-40B4-BE49-F238E27FC236}">
                  <a16:creationId xmlns:a16="http://schemas.microsoft.com/office/drawing/2014/main" id="{00000000-0008-0000-0000-00003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Animations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102</xdr:row>
          <xdr:rowOff>12700</xdr:rowOff>
        </xdr:from>
        <xdr:to>
          <xdr:col>21</xdr:col>
          <xdr:colOff>0</xdr:colOff>
          <xdr:row>102</xdr:row>
          <xdr:rowOff>177800</xdr:rowOff>
        </xdr:to>
        <xdr:sp macro="" textlink="">
          <xdr:nvSpPr>
            <xdr:cNvPr id="1403" name="Button 379" hidden="1">
              <a:extLst>
                <a:ext uri="{63B3BB69-23CF-44E3-9099-C40C66FF867C}">
                  <a14:compatExt spid="_x0000_s1403"/>
                </a:ext>
                <a:ext uri="{FF2B5EF4-FFF2-40B4-BE49-F238E27FC236}">
                  <a16:creationId xmlns:a16="http://schemas.microsoft.com/office/drawing/2014/main" id="{00000000-0008-0000-0000-00007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103</xdr:row>
          <xdr:rowOff>12700</xdr:rowOff>
        </xdr:from>
        <xdr:to>
          <xdr:col>21</xdr:col>
          <xdr:colOff>0</xdr:colOff>
          <xdr:row>103</xdr:row>
          <xdr:rowOff>177800</xdr:rowOff>
        </xdr:to>
        <xdr:sp macro="" textlink="">
          <xdr:nvSpPr>
            <xdr:cNvPr id="1404" name="Button 380" hidden="1">
              <a:extLst>
                <a:ext uri="{63B3BB69-23CF-44E3-9099-C40C66FF867C}">
                  <a14:compatExt spid="_x0000_s1404"/>
                </a:ext>
                <a:ext uri="{FF2B5EF4-FFF2-40B4-BE49-F238E27FC236}">
                  <a16:creationId xmlns:a16="http://schemas.microsoft.com/office/drawing/2014/main" id="{00000000-0008-0000-0000-00007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105</xdr:row>
          <xdr:rowOff>12700</xdr:rowOff>
        </xdr:from>
        <xdr:to>
          <xdr:col>21</xdr:col>
          <xdr:colOff>0</xdr:colOff>
          <xdr:row>105</xdr:row>
          <xdr:rowOff>177800</xdr:rowOff>
        </xdr:to>
        <xdr:sp macro="" textlink="">
          <xdr:nvSpPr>
            <xdr:cNvPr id="1405" name="Button 381" hidden="1">
              <a:extLst>
                <a:ext uri="{63B3BB69-23CF-44E3-9099-C40C66FF867C}">
                  <a14:compatExt spid="_x0000_s1405"/>
                </a:ext>
                <a:ext uri="{FF2B5EF4-FFF2-40B4-BE49-F238E27FC236}">
                  <a16:creationId xmlns:a16="http://schemas.microsoft.com/office/drawing/2014/main" id="{00000000-0008-0000-0000-00007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107</xdr:row>
          <xdr:rowOff>12700</xdr:rowOff>
        </xdr:from>
        <xdr:to>
          <xdr:col>21</xdr:col>
          <xdr:colOff>0</xdr:colOff>
          <xdr:row>107</xdr:row>
          <xdr:rowOff>177800</xdr:rowOff>
        </xdr:to>
        <xdr:sp macro="" textlink="">
          <xdr:nvSpPr>
            <xdr:cNvPr id="1406" name="Button 382" hidden="1">
              <a:extLst>
                <a:ext uri="{63B3BB69-23CF-44E3-9099-C40C66FF867C}">
                  <a14:compatExt spid="_x0000_s1406"/>
                </a:ext>
                <a:ext uri="{FF2B5EF4-FFF2-40B4-BE49-F238E27FC236}">
                  <a16:creationId xmlns:a16="http://schemas.microsoft.com/office/drawing/2014/main" id="{00000000-0008-0000-0000-00007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94</xdr:row>
          <xdr:rowOff>12700</xdr:rowOff>
        </xdr:from>
        <xdr:to>
          <xdr:col>21</xdr:col>
          <xdr:colOff>0</xdr:colOff>
          <xdr:row>94</xdr:row>
          <xdr:rowOff>177800</xdr:rowOff>
        </xdr:to>
        <xdr:sp macro="" textlink="">
          <xdr:nvSpPr>
            <xdr:cNvPr id="1407" name="Button 383" hidden="1">
              <a:extLst>
                <a:ext uri="{63B3BB69-23CF-44E3-9099-C40C66FF867C}">
                  <a14:compatExt spid="_x0000_s1407"/>
                </a:ext>
                <a:ext uri="{FF2B5EF4-FFF2-40B4-BE49-F238E27FC236}">
                  <a16:creationId xmlns:a16="http://schemas.microsoft.com/office/drawing/2014/main" id="{00000000-0008-0000-0000-00007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83</xdr:row>
          <xdr:rowOff>12700</xdr:rowOff>
        </xdr:from>
        <xdr:to>
          <xdr:col>21</xdr:col>
          <xdr:colOff>0</xdr:colOff>
          <xdr:row>83</xdr:row>
          <xdr:rowOff>177800</xdr:rowOff>
        </xdr:to>
        <xdr:sp macro="" textlink="">
          <xdr:nvSpPr>
            <xdr:cNvPr id="1408" name="Button 384" hidden="1">
              <a:extLst>
                <a:ext uri="{63B3BB69-23CF-44E3-9099-C40C66FF867C}">
                  <a14:compatExt spid="_x0000_s1408"/>
                </a:ext>
                <a:ext uri="{FF2B5EF4-FFF2-40B4-BE49-F238E27FC236}">
                  <a16:creationId xmlns:a16="http://schemas.microsoft.com/office/drawing/2014/main" id="{00000000-0008-0000-0000-00008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111</xdr:row>
          <xdr:rowOff>12700</xdr:rowOff>
        </xdr:from>
        <xdr:to>
          <xdr:col>21</xdr:col>
          <xdr:colOff>0</xdr:colOff>
          <xdr:row>111</xdr:row>
          <xdr:rowOff>177800</xdr:rowOff>
        </xdr:to>
        <xdr:sp macro="" textlink="">
          <xdr:nvSpPr>
            <xdr:cNvPr id="1410" name="Button 386"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113</xdr:row>
          <xdr:rowOff>12700</xdr:rowOff>
        </xdr:from>
        <xdr:to>
          <xdr:col>21</xdr:col>
          <xdr:colOff>0</xdr:colOff>
          <xdr:row>113</xdr:row>
          <xdr:rowOff>177800</xdr:rowOff>
        </xdr:to>
        <xdr:sp macro="" textlink="">
          <xdr:nvSpPr>
            <xdr:cNvPr id="1411" name="Button 387" hidden="1">
              <a:extLst>
                <a:ext uri="{63B3BB69-23CF-44E3-9099-C40C66FF867C}">
                  <a14:compatExt spid="_x0000_s1411"/>
                </a:ext>
                <a:ext uri="{FF2B5EF4-FFF2-40B4-BE49-F238E27FC236}">
                  <a16:creationId xmlns:a16="http://schemas.microsoft.com/office/drawing/2014/main" id="{00000000-0008-0000-0000-00008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115</xdr:row>
          <xdr:rowOff>12700</xdr:rowOff>
        </xdr:from>
        <xdr:to>
          <xdr:col>21</xdr:col>
          <xdr:colOff>0</xdr:colOff>
          <xdr:row>115</xdr:row>
          <xdr:rowOff>177800</xdr:rowOff>
        </xdr:to>
        <xdr:sp macro="" textlink="">
          <xdr:nvSpPr>
            <xdr:cNvPr id="1412" name="Button 388" hidden="1">
              <a:extLst>
                <a:ext uri="{63B3BB69-23CF-44E3-9099-C40C66FF867C}">
                  <a14:compatExt spid="_x0000_s1412"/>
                </a:ext>
                <a:ext uri="{FF2B5EF4-FFF2-40B4-BE49-F238E27FC236}">
                  <a16:creationId xmlns:a16="http://schemas.microsoft.com/office/drawing/2014/main" id="{00000000-0008-0000-0000-00008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ear</a:t>
              </a:r>
            </a:p>
            <a:p>
              <a:pPr algn="ctr" rtl="0">
                <a:defRPr sz="1000"/>
              </a:pPr>
              <a:endParaRPr lang="en-GB" sz="1200" b="0" i="0" u="none" strike="noStrike" baseline="0">
                <a:solidFill>
                  <a:srgbClr val="000000"/>
                </a:solidFill>
                <a:latin typeface="Calibri" pitchFamily="2" charset="0"/>
                <a:cs typeface="Calibri" pitchFamily="2" charset="0"/>
              </a:endParaRP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0</xdr:row>
          <xdr:rowOff>88900</xdr:rowOff>
        </xdr:from>
        <xdr:to>
          <xdr:col>10</xdr:col>
          <xdr:colOff>660400</xdr:colOff>
          <xdr:row>0</xdr:row>
          <xdr:rowOff>342900</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Local 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1130300</xdr:colOff>
          <xdr:row>0</xdr:row>
          <xdr:rowOff>88900</xdr:rowOff>
        </xdr:from>
        <xdr:to>
          <xdr:col>10</xdr:col>
          <xdr:colOff>673100</xdr:colOff>
          <xdr:row>0</xdr:row>
          <xdr:rowOff>342900</xdr:rowOff>
        </xdr:to>
        <xdr:sp macro="" textlink="">
          <xdr:nvSpPr>
            <xdr:cNvPr id="1563" name="Check Box 539"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200" b="0" i="0" u="none" strike="noStrike" baseline="0">
                  <a:solidFill>
                    <a:srgbClr val="000000"/>
                  </a:solidFill>
                  <a:latin typeface="Calibri" pitchFamily="2" charset="0"/>
                  <a:cs typeface="Calibri" pitchFamily="2" charset="0"/>
                </a:rPr>
                <a:t>Local IP</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161</xdr:row>
          <xdr:rowOff>12700</xdr:rowOff>
        </xdr:from>
        <xdr:to>
          <xdr:col>20</xdr:col>
          <xdr:colOff>304800</xdr:colOff>
          <xdr:row>161</xdr:row>
          <xdr:rowOff>177800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162</xdr:row>
          <xdr:rowOff>12700</xdr:rowOff>
        </xdr:from>
        <xdr:to>
          <xdr:col>20</xdr:col>
          <xdr:colOff>304800</xdr:colOff>
          <xdr:row>162</xdr:row>
          <xdr:rowOff>177800</xdr:rowOff>
        </xdr:to>
        <xdr:sp macro="" textlink="">
          <xdr:nvSpPr>
            <xdr:cNvPr id="1709" name="Button 685" hidden="1">
              <a:extLst>
                <a:ext uri="{63B3BB69-23CF-44E3-9099-C40C66FF867C}">
                  <a14:compatExt spid="_x0000_s1709"/>
                </a:ext>
                <a:ext uri="{FF2B5EF4-FFF2-40B4-BE49-F238E27FC236}">
                  <a16:creationId xmlns:a16="http://schemas.microsoft.com/office/drawing/2014/main" id="{00000000-0008-0000-0000-0000AD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163</xdr:row>
          <xdr:rowOff>12700</xdr:rowOff>
        </xdr:from>
        <xdr:to>
          <xdr:col>21</xdr:col>
          <xdr:colOff>0</xdr:colOff>
          <xdr:row>163</xdr:row>
          <xdr:rowOff>177800</xdr:rowOff>
        </xdr:to>
        <xdr:sp macro="" textlink="">
          <xdr:nvSpPr>
            <xdr:cNvPr id="1710" name="Button 686" hidden="1">
              <a:extLst>
                <a:ext uri="{63B3BB69-23CF-44E3-9099-C40C66FF867C}">
                  <a14:compatExt spid="_x0000_s1710"/>
                </a:ext>
                <a:ext uri="{FF2B5EF4-FFF2-40B4-BE49-F238E27FC236}">
                  <a16:creationId xmlns:a16="http://schemas.microsoft.com/office/drawing/2014/main" id="{00000000-0008-0000-0000-0000AE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164</xdr:row>
          <xdr:rowOff>12700</xdr:rowOff>
        </xdr:from>
        <xdr:to>
          <xdr:col>21</xdr:col>
          <xdr:colOff>0</xdr:colOff>
          <xdr:row>164</xdr:row>
          <xdr:rowOff>177800</xdr:rowOff>
        </xdr:to>
        <xdr:sp macro="" textlink="">
          <xdr:nvSpPr>
            <xdr:cNvPr id="1711" name="Button 687" hidden="1">
              <a:extLst>
                <a:ext uri="{63B3BB69-23CF-44E3-9099-C40C66FF867C}">
                  <a14:compatExt spid="_x0000_s1711"/>
                </a:ext>
                <a:ext uri="{FF2B5EF4-FFF2-40B4-BE49-F238E27FC236}">
                  <a16:creationId xmlns:a16="http://schemas.microsoft.com/office/drawing/2014/main" id="{00000000-0008-0000-0000-0000AF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165</xdr:row>
          <xdr:rowOff>12700</xdr:rowOff>
        </xdr:from>
        <xdr:to>
          <xdr:col>21</xdr:col>
          <xdr:colOff>0</xdr:colOff>
          <xdr:row>165</xdr:row>
          <xdr:rowOff>177800</xdr:rowOff>
        </xdr:to>
        <xdr:sp macro="" textlink="">
          <xdr:nvSpPr>
            <xdr:cNvPr id="1712" name="Button 688" hidden="1">
              <a:extLst>
                <a:ext uri="{63B3BB69-23CF-44E3-9099-C40C66FF867C}">
                  <a14:compatExt spid="_x0000_s1712"/>
                </a:ext>
                <a:ext uri="{FF2B5EF4-FFF2-40B4-BE49-F238E27FC236}">
                  <a16:creationId xmlns:a16="http://schemas.microsoft.com/office/drawing/2014/main" id="{00000000-0008-0000-0000-0000B0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166</xdr:row>
          <xdr:rowOff>12700</xdr:rowOff>
        </xdr:from>
        <xdr:to>
          <xdr:col>21</xdr:col>
          <xdr:colOff>0</xdr:colOff>
          <xdr:row>166</xdr:row>
          <xdr:rowOff>177800</xdr:rowOff>
        </xdr:to>
        <xdr:sp macro="" textlink="">
          <xdr:nvSpPr>
            <xdr:cNvPr id="1713" name="Button 689" hidden="1">
              <a:extLst>
                <a:ext uri="{63B3BB69-23CF-44E3-9099-C40C66FF867C}">
                  <a14:compatExt spid="_x0000_s1713"/>
                </a:ext>
                <a:ext uri="{FF2B5EF4-FFF2-40B4-BE49-F238E27FC236}">
                  <a16:creationId xmlns:a16="http://schemas.microsoft.com/office/drawing/2014/main" id="{00000000-0008-0000-0000-0000B1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167</xdr:row>
          <xdr:rowOff>12700</xdr:rowOff>
        </xdr:from>
        <xdr:to>
          <xdr:col>21</xdr:col>
          <xdr:colOff>0</xdr:colOff>
          <xdr:row>167</xdr:row>
          <xdr:rowOff>177800</xdr:rowOff>
        </xdr:to>
        <xdr:sp macro="" textlink="">
          <xdr:nvSpPr>
            <xdr:cNvPr id="1714" name="Button 690" hidden="1">
              <a:extLst>
                <a:ext uri="{63B3BB69-23CF-44E3-9099-C40C66FF867C}">
                  <a14:compatExt spid="_x0000_s1714"/>
                </a:ext>
                <a:ext uri="{FF2B5EF4-FFF2-40B4-BE49-F238E27FC236}">
                  <a16:creationId xmlns:a16="http://schemas.microsoft.com/office/drawing/2014/main" id="{00000000-0008-0000-0000-0000B2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168</xdr:row>
          <xdr:rowOff>12700</xdr:rowOff>
        </xdr:from>
        <xdr:to>
          <xdr:col>21</xdr:col>
          <xdr:colOff>0</xdr:colOff>
          <xdr:row>168</xdr:row>
          <xdr:rowOff>177800</xdr:rowOff>
        </xdr:to>
        <xdr:sp macro="" textlink="">
          <xdr:nvSpPr>
            <xdr:cNvPr id="1715" name="Button 691" hidden="1">
              <a:extLst>
                <a:ext uri="{63B3BB69-23CF-44E3-9099-C40C66FF867C}">
                  <a14:compatExt spid="_x0000_s1715"/>
                </a:ext>
                <a:ext uri="{FF2B5EF4-FFF2-40B4-BE49-F238E27FC236}">
                  <a16:creationId xmlns:a16="http://schemas.microsoft.com/office/drawing/2014/main" id="{00000000-0008-0000-0000-0000B3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169</xdr:row>
          <xdr:rowOff>12700</xdr:rowOff>
        </xdr:from>
        <xdr:to>
          <xdr:col>21</xdr:col>
          <xdr:colOff>0</xdr:colOff>
          <xdr:row>169</xdr:row>
          <xdr:rowOff>177800</xdr:rowOff>
        </xdr:to>
        <xdr:sp macro="" textlink="">
          <xdr:nvSpPr>
            <xdr:cNvPr id="1716" name="Button 692" hidden="1">
              <a:extLst>
                <a:ext uri="{63B3BB69-23CF-44E3-9099-C40C66FF867C}">
                  <a14:compatExt spid="_x0000_s1716"/>
                </a:ext>
                <a:ext uri="{FF2B5EF4-FFF2-40B4-BE49-F238E27FC236}">
                  <a16:creationId xmlns:a16="http://schemas.microsoft.com/office/drawing/2014/main" id="{00000000-0008-0000-0000-0000B4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170</xdr:row>
          <xdr:rowOff>12700</xdr:rowOff>
        </xdr:from>
        <xdr:to>
          <xdr:col>21</xdr:col>
          <xdr:colOff>0</xdr:colOff>
          <xdr:row>170</xdr:row>
          <xdr:rowOff>177800</xdr:rowOff>
        </xdr:to>
        <xdr:sp macro="" textlink="">
          <xdr:nvSpPr>
            <xdr:cNvPr id="1717" name="Button 693" hidden="1">
              <a:extLst>
                <a:ext uri="{63B3BB69-23CF-44E3-9099-C40C66FF867C}">
                  <a14:compatExt spid="_x0000_s1717"/>
                </a:ext>
                <a:ext uri="{FF2B5EF4-FFF2-40B4-BE49-F238E27FC236}">
                  <a16:creationId xmlns:a16="http://schemas.microsoft.com/office/drawing/2014/main" id="{00000000-0008-0000-0000-0000B5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171</xdr:row>
          <xdr:rowOff>12700</xdr:rowOff>
        </xdr:from>
        <xdr:to>
          <xdr:col>21</xdr:col>
          <xdr:colOff>0</xdr:colOff>
          <xdr:row>171</xdr:row>
          <xdr:rowOff>177800</xdr:rowOff>
        </xdr:to>
        <xdr:sp macro="" textlink="">
          <xdr:nvSpPr>
            <xdr:cNvPr id="1718" name="Button 694" hidden="1">
              <a:extLst>
                <a:ext uri="{63B3BB69-23CF-44E3-9099-C40C66FF867C}">
                  <a14:compatExt spid="_x0000_s1718"/>
                </a:ext>
                <a:ext uri="{FF2B5EF4-FFF2-40B4-BE49-F238E27FC236}">
                  <a16:creationId xmlns:a16="http://schemas.microsoft.com/office/drawing/2014/main" id="{00000000-0008-0000-0000-0000B6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172</xdr:row>
          <xdr:rowOff>12700</xdr:rowOff>
        </xdr:from>
        <xdr:to>
          <xdr:col>21</xdr:col>
          <xdr:colOff>0</xdr:colOff>
          <xdr:row>172</xdr:row>
          <xdr:rowOff>177800</xdr:rowOff>
        </xdr:to>
        <xdr:sp macro="" textlink="">
          <xdr:nvSpPr>
            <xdr:cNvPr id="1719" name="Button 695" hidden="1">
              <a:extLst>
                <a:ext uri="{63B3BB69-23CF-44E3-9099-C40C66FF867C}">
                  <a14:compatExt spid="_x0000_s1719"/>
                </a:ext>
                <a:ext uri="{FF2B5EF4-FFF2-40B4-BE49-F238E27FC236}">
                  <a16:creationId xmlns:a16="http://schemas.microsoft.com/office/drawing/2014/main" id="{00000000-0008-0000-0000-0000B7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173</xdr:row>
          <xdr:rowOff>12700</xdr:rowOff>
        </xdr:from>
        <xdr:to>
          <xdr:col>21</xdr:col>
          <xdr:colOff>0</xdr:colOff>
          <xdr:row>173</xdr:row>
          <xdr:rowOff>177800</xdr:rowOff>
        </xdr:to>
        <xdr:sp macro="" textlink="">
          <xdr:nvSpPr>
            <xdr:cNvPr id="1720" name="Button 696" hidden="1">
              <a:extLst>
                <a:ext uri="{63B3BB69-23CF-44E3-9099-C40C66FF867C}">
                  <a14:compatExt spid="_x0000_s1720"/>
                </a:ext>
                <a:ext uri="{FF2B5EF4-FFF2-40B4-BE49-F238E27FC236}">
                  <a16:creationId xmlns:a16="http://schemas.microsoft.com/office/drawing/2014/main" id="{00000000-0008-0000-0000-0000B8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174</xdr:row>
          <xdr:rowOff>12700</xdr:rowOff>
        </xdr:from>
        <xdr:to>
          <xdr:col>21</xdr:col>
          <xdr:colOff>0</xdr:colOff>
          <xdr:row>174</xdr:row>
          <xdr:rowOff>177800</xdr:rowOff>
        </xdr:to>
        <xdr:sp macro="" textlink="">
          <xdr:nvSpPr>
            <xdr:cNvPr id="1721" name="Button 697" hidden="1">
              <a:extLst>
                <a:ext uri="{63B3BB69-23CF-44E3-9099-C40C66FF867C}">
                  <a14:compatExt spid="_x0000_s1721"/>
                </a:ext>
                <a:ext uri="{FF2B5EF4-FFF2-40B4-BE49-F238E27FC236}">
                  <a16:creationId xmlns:a16="http://schemas.microsoft.com/office/drawing/2014/main" id="{00000000-0008-0000-0000-0000B9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175</xdr:row>
          <xdr:rowOff>12700</xdr:rowOff>
        </xdr:from>
        <xdr:to>
          <xdr:col>21</xdr:col>
          <xdr:colOff>0</xdr:colOff>
          <xdr:row>175</xdr:row>
          <xdr:rowOff>177800</xdr:rowOff>
        </xdr:to>
        <xdr:sp macro="" textlink="">
          <xdr:nvSpPr>
            <xdr:cNvPr id="1722" name="Button 698" hidden="1">
              <a:extLst>
                <a:ext uri="{63B3BB69-23CF-44E3-9099-C40C66FF867C}">
                  <a14:compatExt spid="_x0000_s1722"/>
                </a:ext>
                <a:ext uri="{FF2B5EF4-FFF2-40B4-BE49-F238E27FC236}">
                  <a16:creationId xmlns:a16="http://schemas.microsoft.com/office/drawing/2014/main" id="{00000000-0008-0000-0000-0000BA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68</xdr:row>
          <xdr:rowOff>12700</xdr:rowOff>
        </xdr:from>
        <xdr:to>
          <xdr:col>20</xdr:col>
          <xdr:colOff>304800</xdr:colOff>
          <xdr:row>68</xdr:row>
          <xdr:rowOff>177800</xdr:rowOff>
        </xdr:to>
        <xdr:sp macro="" textlink="">
          <xdr:nvSpPr>
            <xdr:cNvPr id="1801" name="Button 777" hidden="1">
              <a:extLst>
                <a:ext uri="{63B3BB69-23CF-44E3-9099-C40C66FF867C}">
                  <a14:compatExt spid="_x0000_s1801"/>
                </a:ext>
                <a:ext uri="{FF2B5EF4-FFF2-40B4-BE49-F238E27FC236}">
                  <a16:creationId xmlns:a16="http://schemas.microsoft.com/office/drawing/2014/main" id="{00000000-0008-0000-0000-000009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70</xdr:row>
          <xdr:rowOff>12700</xdr:rowOff>
        </xdr:from>
        <xdr:to>
          <xdr:col>20</xdr:col>
          <xdr:colOff>304800</xdr:colOff>
          <xdr:row>70</xdr:row>
          <xdr:rowOff>177800</xdr:rowOff>
        </xdr:to>
        <xdr:sp macro="" textlink="">
          <xdr:nvSpPr>
            <xdr:cNvPr id="1802" name="Button 778" hidden="1">
              <a:extLst>
                <a:ext uri="{63B3BB69-23CF-44E3-9099-C40C66FF867C}">
                  <a14:compatExt spid="_x0000_s1802"/>
                </a:ext>
                <a:ext uri="{FF2B5EF4-FFF2-40B4-BE49-F238E27FC236}">
                  <a16:creationId xmlns:a16="http://schemas.microsoft.com/office/drawing/2014/main" id="{00000000-0008-0000-0000-00000A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43</xdr:row>
          <xdr:rowOff>12700</xdr:rowOff>
        </xdr:from>
        <xdr:to>
          <xdr:col>20</xdr:col>
          <xdr:colOff>304800</xdr:colOff>
          <xdr:row>43</xdr:row>
          <xdr:rowOff>177800</xdr:rowOff>
        </xdr:to>
        <xdr:sp macro="" textlink="">
          <xdr:nvSpPr>
            <xdr:cNvPr id="1803" name="Button 779" hidden="1">
              <a:extLst>
                <a:ext uri="{63B3BB69-23CF-44E3-9099-C40C66FF867C}">
                  <a14:compatExt spid="_x0000_s1803"/>
                </a:ext>
                <a:ext uri="{FF2B5EF4-FFF2-40B4-BE49-F238E27FC236}">
                  <a16:creationId xmlns:a16="http://schemas.microsoft.com/office/drawing/2014/main" id="{00000000-0008-0000-0000-00000B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46</xdr:row>
          <xdr:rowOff>12700</xdr:rowOff>
        </xdr:from>
        <xdr:to>
          <xdr:col>20</xdr:col>
          <xdr:colOff>304800</xdr:colOff>
          <xdr:row>46</xdr:row>
          <xdr:rowOff>177800</xdr:rowOff>
        </xdr:to>
        <xdr:sp macro="" textlink="">
          <xdr:nvSpPr>
            <xdr:cNvPr id="1804" name="Button 780" hidden="1">
              <a:extLst>
                <a:ext uri="{63B3BB69-23CF-44E3-9099-C40C66FF867C}">
                  <a14:compatExt spid="_x0000_s1804"/>
                </a:ext>
                <a:ext uri="{FF2B5EF4-FFF2-40B4-BE49-F238E27FC236}">
                  <a16:creationId xmlns:a16="http://schemas.microsoft.com/office/drawing/2014/main" id="{00000000-0008-0000-0000-00000C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7</xdr:row>
          <xdr:rowOff>12700</xdr:rowOff>
        </xdr:from>
        <xdr:to>
          <xdr:col>20</xdr:col>
          <xdr:colOff>304800</xdr:colOff>
          <xdr:row>7</xdr:row>
          <xdr:rowOff>177800</xdr:rowOff>
        </xdr:to>
        <xdr:sp macro="" textlink="">
          <xdr:nvSpPr>
            <xdr:cNvPr id="1805" name="Button 781" hidden="1">
              <a:extLst>
                <a:ext uri="{63B3BB69-23CF-44E3-9099-C40C66FF867C}">
                  <a14:compatExt spid="_x0000_s1805"/>
                </a:ext>
                <a:ext uri="{FF2B5EF4-FFF2-40B4-BE49-F238E27FC236}">
                  <a16:creationId xmlns:a16="http://schemas.microsoft.com/office/drawing/2014/main" id="{00000000-0008-0000-0000-00000D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124</xdr:row>
          <xdr:rowOff>12700</xdr:rowOff>
        </xdr:from>
        <xdr:to>
          <xdr:col>20</xdr:col>
          <xdr:colOff>304800</xdr:colOff>
          <xdr:row>124</xdr:row>
          <xdr:rowOff>177800</xdr:rowOff>
        </xdr:to>
        <xdr:sp macro="" textlink="">
          <xdr:nvSpPr>
            <xdr:cNvPr id="1810" name="Button 786" hidden="1">
              <a:extLst>
                <a:ext uri="{63B3BB69-23CF-44E3-9099-C40C66FF867C}">
                  <a14:compatExt spid="_x0000_s1810"/>
                </a:ext>
                <a:ext uri="{FF2B5EF4-FFF2-40B4-BE49-F238E27FC236}">
                  <a16:creationId xmlns:a16="http://schemas.microsoft.com/office/drawing/2014/main" id="{00000000-0008-0000-0000-000012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xdr:colOff>
          <xdr:row>126</xdr:row>
          <xdr:rowOff>12700</xdr:rowOff>
        </xdr:from>
        <xdr:to>
          <xdr:col>20</xdr:col>
          <xdr:colOff>304800</xdr:colOff>
          <xdr:row>126</xdr:row>
          <xdr:rowOff>177800</xdr:rowOff>
        </xdr:to>
        <xdr:sp macro="" textlink="">
          <xdr:nvSpPr>
            <xdr:cNvPr id="1893" name="Button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say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66" Type="http://schemas.openxmlformats.org/officeDocument/2006/relationships/ctrlProp" Target="../ctrlProps/ctrlProp64.xml"/><Relationship Id="rId74" Type="http://schemas.openxmlformats.org/officeDocument/2006/relationships/ctrlProp" Target="../ctrlProps/ctrlProp72.xml"/><Relationship Id="rId5" Type="http://schemas.openxmlformats.org/officeDocument/2006/relationships/ctrlProp" Target="../ctrlProps/ctrlProp3.xml"/><Relationship Id="rId61" Type="http://schemas.openxmlformats.org/officeDocument/2006/relationships/ctrlProp" Target="../ctrlProps/ctrlProp59.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64" Type="http://schemas.openxmlformats.org/officeDocument/2006/relationships/ctrlProp" Target="../ctrlProps/ctrlProp62.xml"/><Relationship Id="rId69" Type="http://schemas.openxmlformats.org/officeDocument/2006/relationships/ctrlProp" Target="../ctrlProps/ctrlProp67.xml"/><Relationship Id="rId77" Type="http://schemas.openxmlformats.org/officeDocument/2006/relationships/ctrlProp" Target="../ctrlProps/ctrlProp7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1" Type="http://schemas.openxmlformats.org/officeDocument/2006/relationships/drawing" Target="../drawings/drawing1.xml"/><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7" Type="http://schemas.openxmlformats.org/officeDocument/2006/relationships/ctrlProp" Target="../ctrlProps/ctrlProp5.xml"/><Relationship Id="rId71" Type="http://schemas.openxmlformats.org/officeDocument/2006/relationships/ctrlProp" Target="../ctrlProps/ctrlProp69.xml"/><Relationship Id="rId2" Type="http://schemas.openxmlformats.org/officeDocument/2006/relationships/vmlDrawing" Target="../drawings/vmlDrawing1.vml"/><Relationship Id="rId29"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OE178"/>
  <sheetViews>
    <sheetView tabSelected="1" zoomScale="120" zoomScaleNormal="120" workbookViewId="0">
      <pane xSplit="32" ySplit="3" topLeftCell="BU4" activePane="bottomRight" state="frozenSplit"/>
      <selection pane="topRight" activeCell="AD1" sqref="AD1"/>
      <selection pane="bottomLeft" activeCell="A8" sqref="A8"/>
      <selection pane="bottomRight" activeCell="CA4" sqref="CA4"/>
    </sheetView>
  </sheetViews>
  <sheetFormatPr baseColWidth="10" defaultColWidth="11" defaultRowHeight="16" outlineLevelCol="2"/>
  <cols>
    <col min="1" max="2" width="4.5" style="1" customWidth="1" outlineLevel="1"/>
    <col min="3" max="3" width="14.1640625" style="1" hidden="1" customWidth="1" outlineLevel="2"/>
    <col min="4" max="4" width="4.83203125" style="1" hidden="1" customWidth="1" outlineLevel="2"/>
    <col min="5" max="5" width="32" style="1" hidden="1" customWidth="1" outlineLevel="2"/>
    <col min="6" max="7" width="12.5" style="1" hidden="1" customWidth="1" outlineLevel="2"/>
    <col min="8" max="8" width="11.33203125" style="125" customWidth="1" outlineLevel="1" collapsed="1"/>
    <col min="9" max="10" width="9.1640625" style="122" hidden="1" customWidth="1" outlineLevel="2"/>
    <col min="11" max="11" width="15.1640625" style="122" customWidth="1" outlineLevel="1" collapsed="1"/>
    <col min="12" max="13" width="9.1640625" style="122" hidden="1" customWidth="1" outlineLevel="2"/>
    <col min="14" max="14" width="15.6640625" style="122" hidden="1" customWidth="1" outlineLevel="2"/>
    <col min="15" max="15" width="9.1640625" style="130" customWidth="1" outlineLevel="1" collapsed="1"/>
    <col min="16" max="16" width="26.6640625" customWidth="1" outlineLevel="2"/>
    <col min="17" max="17" width="9.1640625" customWidth="1" outlineLevel="1"/>
    <col min="18" max="18" width="16.6640625" style="28" customWidth="1" outlineLevel="2"/>
    <col min="19" max="19" width="9.1640625" style="28" customWidth="1" outlineLevel="2"/>
    <col min="20" max="20" width="10.6640625" customWidth="1" outlineLevel="1"/>
    <col min="21" max="21" width="5" customWidth="1"/>
    <col min="22" max="23" width="5.83203125" hidden="1" customWidth="1" outlineLevel="1"/>
    <col min="24" max="24" width="5.6640625" hidden="1" customWidth="1" outlineLevel="1"/>
    <col min="25" max="25" width="5.33203125" style="1" customWidth="1" collapsed="1"/>
    <col min="26" max="30" width="9.5" style="1" hidden="1" customWidth="1" outlineLevel="1"/>
    <col min="31" max="31" width="5.83203125" style="1" customWidth="1" collapsed="1"/>
    <col min="32" max="32" width="42.5" customWidth="1"/>
    <col min="33" max="33" width="14.33203125" customWidth="1"/>
    <col min="34" max="35" width="9.33203125" hidden="1" customWidth="1" outlineLevel="1"/>
    <col min="36" max="36" width="5" hidden="1" customWidth="1" outlineLevel="1"/>
    <col min="37" max="37" width="8.83203125" hidden="1" customWidth="1" outlineLevel="1"/>
    <col min="38" max="38" width="6.83203125" hidden="1" customWidth="1" outlineLevel="1"/>
    <col min="39" max="39" width="6.83203125" style="131" customWidth="1" collapsed="1"/>
    <col min="40" max="40" width="19.83203125" hidden="1" customWidth="1" outlineLevel="1"/>
    <col min="41" max="41" width="19.33203125" hidden="1" customWidth="1" outlineLevel="1"/>
    <col min="42" max="42" width="15.33203125" hidden="1" customWidth="1" outlineLevel="1"/>
    <col min="43" max="43" width="14.33203125" hidden="1" customWidth="1" outlineLevel="1"/>
    <col min="44" max="44" width="6.6640625" hidden="1" customWidth="1" outlineLevel="1"/>
    <col min="45" max="45" width="4.33203125" hidden="1" customWidth="1" outlineLevel="1"/>
    <col min="46" max="46" width="6.83203125" hidden="1" customWidth="1" outlineLevel="1"/>
    <col min="47" max="47" width="14.33203125" hidden="1" customWidth="1" outlineLevel="1"/>
    <col min="48" max="48" width="6.6640625" hidden="1" customWidth="1" outlineLevel="1"/>
    <col min="49" max="49" width="4.33203125" hidden="1" customWidth="1" outlineLevel="1"/>
    <col min="50" max="50" width="6.83203125" hidden="1" customWidth="1" outlineLevel="1"/>
    <col min="51" max="51" width="14.33203125" hidden="1" customWidth="1" outlineLevel="1"/>
    <col min="52" max="52" width="6.6640625" hidden="1" customWidth="1" outlineLevel="1"/>
    <col min="53" max="53" width="4.33203125" hidden="1" customWidth="1" outlineLevel="1"/>
    <col min="54" max="54" width="6.83203125" hidden="1" customWidth="1" outlineLevel="1"/>
    <col min="55" max="55" width="1" style="24" customWidth="1" collapsed="1"/>
    <col min="56" max="56" width="9.33203125" customWidth="1" outlineLevel="1"/>
    <col min="57" max="57" width="8.1640625" customWidth="1" outlineLevel="1"/>
    <col min="58" max="58" width="1" style="24" customWidth="1"/>
    <col min="59" max="60" width="9.83203125" style="1" customWidth="1" outlineLevel="1"/>
    <col min="61" max="61" width="7" style="1" customWidth="1" outlineLevel="1"/>
    <col min="62" max="62" width="10.5" style="107" customWidth="1" outlineLevel="1"/>
    <col min="63" max="63" width="1.1640625" style="24" customWidth="1"/>
    <col min="64" max="64" width="8" customWidth="1" outlineLevel="1"/>
    <col min="65" max="65" width="5.83203125" customWidth="1" outlineLevel="1"/>
    <col min="66" max="66" width="5.1640625" customWidth="1" outlineLevel="1"/>
    <col min="67" max="67" width="4.33203125" customWidth="1" outlineLevel="1"/>
    <col min="68" max="68" width="4.1640625" customWidth="1" outlineLevel="1"/>
    <col min="69" max="69" width="5.33203125" customWidth="1" outlineLevel="1"/>
    <col min="70" max="70" width="1" style="24" customWidth="1"/>
    <col min="71" max="71" width="6.5" customWidth="1" outlineLevel="1"/>
    <col min="72" max="72" width="3.6640625" customWidth="1" outlineLevel="1"/>
    <col min="73" max="73" width="3.83203125" customWidth="1" outlineLevel="1"/>
    <col min="74" max="74" width="5.83203125" customWidth="1" outlineLevel="1"/>
    <col min="75" max="75" width="5" customWidth="1" outlineLevel="1"/>
    <col min="76" max="76" width="1" style="24" customWidth="1"/>
    <col min="77" max="77" width="6.1640625" customWidth="1" outlineLevel="1"/>
    <col min="78" max="79" width="4.5" customWidth="1" outlineLevel="1"/>
  </cols>
  <sheetData>
    <row r="1" spans="1:79 1071:1071" ht="37" customHeight="1">
      <c r="P1" s="146"/>
      <c r="Q1" s="146"/>
      <c r="S1" s="142"/>
      <c r="Y1" s="28"/>
      <c r="Z1" s="28"/>
      <c r="AA1" s="28"/>
      <c r="AB1" s="28"/>
      <c r="AC1" s="28"/>
      <c r="AD1" s="28"/>
      <c r="AE1" s="28"/>
      <c r="AF1" s="28"/>
      <c r="AG1" s="28"/>
      <c r="AH1" s="28"/>
      <c r="AI1" s="28"/>
      <c r="AJ1" s="28"/>
      <c r="AK1" s="28"/>
      <c r="AL1" s="28"/>
      <c r="AN1" s="28"/>
      <c r="AO1" s="28"/>
      <c r="AP1" s="28"/>
      <c r="AQ1" s="28"/>
      <c r="AR1" s="28"/>
      <c r="AS1" s="28"/>
      <c r="AT1" s="28"/>
      <c r="AU1" s="28"/>
      <c r="AV1" s="28"/>
      <c r="AW1" s="28"/>
      <c r="AX1" s="28"/>
      <c r="AY1" s="28"/>
      <c r="AZ1" s="28"/>
      <c r="BA1" s="28"/>
      <c r="BB1" s="28"/>
      <c r="BD1" s="28"/>
      <c r="BE1" s="28"/>
      <c r="BG1" s="28"/>
      <c r="BH1" s="28"/>
      <c r="BI1" s="28"/>
      <c r="BJ1" s="105"/>
      <c r="BK1" s="28"/>
      <c r="BL1" s="28"/>
      <c r="BM1" s="143"/>
      <c r="BN1" s="28"/>
      <c r="BO1" s="28"/>
      <c r="BP1" s="28"/>
      <c r="BQ1" s="28"/>
      <c r="BS1" s="28"/>
      <c r="BT1" s="28"/>
      <c r="BU1" s="28"/>
      <c r="BV1" s="28"/>
      <c r="BW1" s="28"/>
      <c r="BY1" s="28"/>
      <c r="BZ1" s="28"/>
      <c r="CA1" s="28"/>
    </row>
    <row r="2" spans="1:79 1071:1071">
      <c r="A2" s="168" t="s">
        <v>0</v>
      </c>
      <c r="B2" s="168"/>
      <c r="C2" s="168"/>
      <c r="D2" s="168"/>
      <c r="E2" s="168"/>
      <c r="F2" s="121" t="s">
        <v>1</v>
      </c>
      <c r="G2" s="121"/>
      <c r="H2" s="121"/>
      <c r="I2" s="121"/>
      <c r="J2" s="121"/>
      <c r="K2" s="121"/>
      <c r="L2" s="121"/>
      <c r="M2" s="121"/>
      <c r="N2" s="121"/>
      <c r="O2" s="121"/>
      <c r="P2" s="121"/>
      <c r="Q2" s="121"/>
      <c r="R2" s="121"/>
      <c r="S2" s="121"/>
      <c r="T2" s="121"/>
      <c r="U2" s="144" t="s">
        <v>2</v>
      </c>
      <c r="V2" s="145"/>
      <c r="W2" s="145"/>
      <c r="X2" s="145"/>
      <c r="Y2" s="165" t="s">
        <v>3</v>
      </c>
      <c r="Z2" s="166"/>
      <c r="AA2" s="166"/>
      <c r="AB2" s="166"/>
      <c r="AC2" s="166"/>
      <c r="AD2" s="167"/>
      <c r="AE2" s="118"/>
      <c r="AF2" s="172" t="s">
        <v>4</v>
      </c>
      <c r="AG2" s="172"/>
      <c r="AH2" s="172"/>
      <c r="AI2" s="172"/>
      <c r="AJ2" s="172"/>
      <c r="AK2" s="172"/>
      <c r="AL2" s="173"/>
      <c r="AM2" s="30"/>
      <c r="AN2" s="30"/>
      <c r="AO2" s="30"/>
      <c r="AP2" s="30"/>
      <c r="AQ2" s="30"/>
      <c r="AR2" s="30"/>
      <c r="AS2" s="30"/>
      <c r="AT2" s="30"/>
      <c r="AU2" s="30"/>
      <c r="AV2" s="30"/>
      <c r="AW2" s="30"/>
      <c r="AX2" s="30"/>
      <c r="AY2" s="30"/>
      <c r="AZ2" s="30"/>
      <c r="BA2" s="30"/>
      <c r="BB2" s="30"/>
      <c r="BC2" s="75"/>
      <c r="BD2" s="119"/>
      <c r="BE2" s="120"/>
      <c r="BF2" s="76"/>
      <c r="BG2" s="169" t="s">
        <v>5</v>
      </c>
      <c r="BH2" s="169"/>
      <c r="BI2" s="169"/>
      <c r="BJ2" s="106"/>
      <c r="BK2" s="75"/>
      <c r="BL2" s="170" t="s">
        <v>6</v>
      </c>
      <c r="BM2" s="170"/>
      <c r="BN2" s="170"/>
      <c r="BO2" s="170"/>
      <c r="BP2" s="170"/>
      <c r="BQ2" s="77"/>
      <c r="BR2" s="75"/>
      <c r="BS2" s="171" t="s">
        <v>7</v>
      </c>
      <c r="BT2" s="171"/>
      <c r="BU2" s="171"/>
      <c r="BV2" s="171"/>
      <c r="BW2" s="171"/>
      <c r="BX2" s="75"/>
      <c r="BY2" s="164" t="s">
        <v>8</v>
      </c>
      <c r="BZ2" s="164"/>
    </row>
    <row r="3" spans="1:79 1071:1071" ht="27.75" customHeight="1">
      <c r="A3" s="88" t="s">
        <v>9</v>
      </c>
      <c r="B3" s="89" t="s">
        <v>10</v>
      </c>
      <c r="C3" s="88" t="s">
        <v>11</v>
      </c>
      <c r="D3" s="89" t="s">
        <v>12</v>
      </c>
      <c r="E3" s="88" t="s">
        <v>13</v>
      </c>
      <c r="F3" s="147" t="s">
        <v>14</v>
      </c>
      <c r="G3" s="147" t="s">
        <v>15</v>
      </c>
      <c r="H3" s="123" t="s">
        <v>16</v>
      </c>
      <c r="I3" s="147" t="s">
        <v>17</v>
      </c>
      <c r="J3" s="147" t="s">
        <v>18</v>
      </c>
      <c r="K3" s="147" t="s">
        <v>19</v>
      </c>
      <c r="L3" s="117" t="s">
        <v>20</v>
      </c>
      <c r="M3" s="117" t="s">
        <v>21</v>
      </c>
      <c r="N3" s="117" t="s">
        <v>22</v>
      </c>
      <c r="O3" s="117" t="s">
        <v>23</v>
      </c>
      <c r="P3" s="117" t="s">
        <v>24</v>
      </c>
      <c r="Q3" s="117" t="s">
        <v>25</v>
      </c>
      <c r="R3" s="140" t="s">
        <v>26</v>
      </c>
      <c r="S3" s="140" t="s">
        <v>27</v>
      </c>
      <c r="T3" s="140" t="s">
        <v>28</v>
      </c>
      <c r="U3" s="84" t="s">
        <v>29</v>
      </c>
      <c r="V3" s="85" t="s">
        <v>30</v>
      </c>
      <c r="W3" s="85" t="s">
        <v>31</v>
      </c>
      <c r="X3" s="85" t="s">
        <v>32</v>
      </c>
      <c r="Y3" s="86" t="s">
        <v>33</v>
      </c>
      <c r="Z3" s="87" t="s">
        <v>34</v>
      </c>
      <c r="AA3" s="87"/>
      <c r="AB3" s="87" t="s">
        <v>35</v>
      </c>
      <c r="AC3" s="87" t="s">
        <v>36</v>
      </c>
      <c r="AD3" s="87" t="s">
        <v>37</v>
      </c>
      <c r="AE3" s="4" t="s">
        <v>38</v>
      </c>
      <c r="AF3" s="3" t="s">
        <v>39</v>
      </c>
      <c r="AG3" s="3" t="s">
        <v>40</v>
      </c>
      <c r="AH3" s="154" t="s">
        <v>41</v>
      </c>
      <c r="AI3" s="154" t="s">
        <v>42</v>
      </c>
      <c r="AJ3" s="154" t="s">
        <v>43</v>
      </c>
      <c r="AK3" s="154" t="s">
        <v>44</v>
      </c>
      <c r="AL3" s="154" t="s">
        <v>45</v>
      </c>
      <c r="AM3" s="30" t="s">
        <v>46</v>
      </c>
      <c r="AN3" s="30" t="s">
        <v>47</v>
      </c>
      <c r="AO3" s="30" t="s">
        <v>48</v>
      </c>
      <c r="AP3" s="30" t="s">
        <v>49</v>
      </c>
      <c r="AQ3" s="30" t="s">
        <v>50</v>
      </c>
      <c r="AR3" s="29" t="s">
        <v>51</v>
      </c>
      <c r="AS3" s="31" t="s">
        <v>52</v>
      </c>
      <c r="AT3" s="30" t="s">
        <v>53</v>
      </c>
      <c r="AU3" s="30" t="s">
        <v>54</v>
      </c>
      <c r="AV3" s="29" t="s">
        <v>51</v>
      </c>
      <c r="AW3" s="31" t="s">
        <v>52</v>
      </c>
      <c r="AX3" s="30" t="s">
        <v>53</v>
      </c>
      <c r="AY3" s="30" t="s">
        <v>55</v>
      </c>
      <c r="AZ3" s="29" t="s">
        <v>51</v>
      </c>
      <c r="BA3" s="31" t="s">
        <v>52</v>
      </c>
      <c r="BB3" s="30" t="s">
        <v>53</v>
      </c>
      <c r="BC3" s="25"/>
      <c r="BD3" s="4" t="s">
        <v>56</v>
      </c>
      <c r="BE3" s="4" t="s">
        <v>57</v>
      </c>
      <c r="BF3" s="25"/>
      <c r="BG3" s="5" t="s">
        <v>58</v>
      </c>
      <c r="BH3" s="5" t="s">
        <v>59</v>
      </c>
      <c r="BI3" s="5" t="s">
        <v>60</v>
      </c>
      <c r="BJ3" s="112" t="s">
        <v>61</v>
      </c>
      <c r="BK3" s="26"/>
      <c r="BL3" s="6" t="s">
        <v>62</v>
      </c>
      <c r="BM3" s="6" t="s">
        <v>63</v>
      </c>
      <c r="BN3" s="6" t="s">
        <v>64</v>
      </c>
      <c r="BO3" s="6" t="s">
        <v>65</v>
      </c>
      <c r="BP3" s="6" t="s">
        <v>66</v>
      </c>
      <c r="BQ3" s="6" t="s">
        <v>67</v>
      </c>
      <c r="BR3" s="25"/>
      <c r="BS3" s="7" t="s">
        <v>68</v>
      </c>
      <c r="BT3" s="7" t="s">
        <v>69</v>
      </c>
      <c r="BU3" s="7" t="s">
        <v>70</v>
      </c>
      <c r="BV3" s="7" t="s">
        <v>71</v>
      </c>
      <c r="BW3" s="7" t="s">
        <v>72</v>
      </c>
      <c r="BX3" s="25"/>
      <c r="BY3" s="8" t="s">
        <v>73</v>
      </c>
      <c r="BZ3" s="8" t="s">
        <v>74</v>
      </c>
      <c r="CA3" s="8" t="s">
        <v>567</v>
      </c>
    </row>
    <row r="4" spans="1:79 1071:1071" s="27" customFormat="1">
      <c r="A4" s="32">
        <v>1</v>
      </c>
      <c r="B4" s="32">
        <v>2</v>
      </c>
      <c r="C4" s="32" t="s">
        <v>73</v>
      </c>
      <c r="D4" s="32"/>
      <c r="E4" s="33" t="s">
        <v>75</v>
      </c>
      <c r="F4" s="34" t="str">
        <f>IF(A4="listen","unmute","") &amp; IF(OR(A4="speak",A4="maketext"),"mute","")</f>
        <v/>
      </c>
      <c r="G4" s="34" t="str">
        <f t="shared" ref="G4:G68" si="0">IF(F4&lt;&gt;"",F4, IF(C4="listen","unmute","") &amp; IF(OR(C4="speak",C4="maketext",C4="play",C4="screen"),"mute","") )</f>
        <v/>
      </c>
      <c r="H4" s="116" t="str">
        <f t="shared" ref="H4:H37" si="1">IFERROR(LOOKUP(G4, table_observe_commands),"")</f>
        <v/>
      </c>
      <c r="I4" s="36" t="str">
        <f t="shared" ref="I4:I69" si="2">IF(C4="screen","fakeplay","") &amp; IF(C4="mood","mood","") &amp; IF(C4="fakemake","fakemake","")</f>
        <v>mood</v>
      </c>
      <c r="J4" s="36" t="str">
        <f t="shared" ref="J4:J37" si="3">IFERROR(LOOKUP(I4, table_td_commands),"")</f>
        <v>{"command" : "mood","id":%id,"mood_num":"%mood_num"}</v>
      </c>
      <c r="K4" s="116" t="str">
        <f t="shared" ref="K4:K5" si="4">SUBSTITUTE(SUBSTITUTE(SUBSTITUTE(SUBSTITUTE(SUBSTITUTE(J4,"%id",A4),"%screens",D4),"%data",IF(P4="","{}",P4)),"%mood_num",B4),"%sound_name",AK4)</f>
        <v>{"command" : "mood","id":1,"mood_num":"2"}</v>
      </c>
      <c r="L4" s="36" t="s">
        <v>76</v>
      </c>
      <c r="M4" s="136" t="str">
        <f t="shared" ref="M4:M17" si="5">IF(L4&lt;&gt;"",L4,IF(C4="maketext","unmute","")&amp;IF(C4="speak","speak","")&amp;IF(C4="listen","mute",""))</f>
        <v>reset</v>
      </c>
      <c r="N4" s="116" t="str">
        <f t="shared" ref="N4:N37" si="6">IFERROR(LOOKUP(M4, table_bot_commands),"")</f>
        <v>{ "command": "reset", "entity": "all", "data" : null}</v>
      </c>
      <c r="O4" s="129" t="str">
        <f t="shared" ref="O4:O37" si="7">SUBSTITUTE(SUBSTITUTE(N4,"%prompt",""&amp;AG4&amp;""),"%text",AF4)</f>
        <v>{ "command": "reset", "entity": "all", "data" : null}</v>
      </c>
      <c r="P4" s="82"/>
      <c r="Q4" s="37" t="str">
        <f t="shared" ref="Q4:Q37" si="8">IF(AND(C4&lt;&gt;"speak_gpt",C4&lt;&gt;"faketomask"),P4,"") &amp; IF(C4="maketext",j_opn&amp;"id"&amp;j_sep&amp;A4 &amp; j_nxt &amp; "type" &amp; j_sep &amp; label_meat &amp; j_nxt&amp; "channel" &amp;j_sep  &amp; Z4&amp; j_nxt&amp; "state" &amp; j_sep &amp; "think" &amp; j_qot &amp; j_cls,"")</f>
        <v/>
      </c>
      <c r="R4" s="141"/>
      <c r="S4" s="148" t="str">
        <f t="shared" ref="S4:S37" si="9">IF(R4&lt;&gt;"", R4, IF(OR(C4="speak",C4="speak_gpt",C4="play"),trigger_mask_spoke,"") &amp; IF(C4="listen",trigger_user_spoke,"") &amp; IF(C4="maketext","mask_generated","") &amp; IF(C4="screen","clone_spoke","") )</f>
        <v/>
      </c>
      <c r="T4" s="137" t="str">
        <f t="shared" ref="T4:T37" si="10">IFERROR(LOOKUP(S4,table_triggers),S4)</f>
        <v/>
      </c>
      <c r="U4" s="34"/>
      <c r="V4" s="35"/>
      <c r="W4" s="36"/>
      <c r="X4" s="36" t="str">
        <f>IF(Y4&lt;&gt;"x","",IF(P4="","",SUBSTITUTE(SUBSTITUTE(SUBSTITUTE(SUBSTITUTE(P4,"""","#Q")," ","#S"),",","#C"),"'","#A")))</f>
        <v/>
      </c>
      <c r="Y4" s="34"/>
      <c r="Z4" s="36" t="str">
        <f t="shared" ref="Z4:Z35" si="11">IF(Y4&lt;&gt;"x","",IF(OR(C4="speak",C4="speak_gpt",C4="screen_azurevoice"),osc_channel_meat_say,IF(C4="play",osc_channel_meat_play,IF(C4="faketomask",osc_channel_meat_fake,IF(C4="state",osc_channel_meat_state,"")))))</f>
        <v/>
      </c>
      <c r="AA4" s="36"/>
      <c r="AB4" s="36" t="str" cm="1">
        <f t="array" ref="AB4">IF(C4="observe",channel_av_observe,"") &amp; IF(C4="register",channel_av_register,"")  &amp; IF(C4="listen",channel_av_listen,"")</f>
        <v/>
      </c>
      <c r="AC4" s="36" t="str">
        <f t="shared" ref="AC4:AC37" si="12">IF(C4="mood",channel_td_mood,"") &amp; IF(C4="makefakes_td",channel_td_makefakes,"") &amp; IF(C4="pause",channel_td_pause,"")  &amp; IF(C4="screen",channel_td_screen,"")</f>
        <v>/mood</v>
      </c>
      <c r="AD4" s="36" t="str">
        <f t="shared" ref="AD4:AD37" si="13">IF(C4="maketext",channel_bw_generate,"")</f>
        <v/>
      </c>
      <c r="AE4" s="42"/>
      <c r="AF4" s="34"/>
      <c r="AG4" s="34"/>
      <c r="AH4" s="34"/>
      <c r="AI4" s="34"/>
      <c r="AJ4" s="34"/>
      <c r="AK4" s="56" t="str">
        <f t="shared" ref="AK4:AK58" si="14">IF(AH4="","",TEXT(SUBSTITUTE(AJ4," ","_"),"000") &amp; "_" &amp; AH4)</f>
        <v/>
      </c>
      <c r="AL4" s="34"/>
      <c r="AM4" s="133"/>
      <c r="AN4" s="34"/>
      <c r="AO4" s="34"/>
      <c r="AP4" s="34"/>
      <c r="AQ4" s="34"/>
      <c r="AR4" s="34"/>
      <c r="AS4" s="34"/>
      <c r="AT4" s="34"/>
      <c r="AU4" s="34"/>
      <c r="AV4" s="34"/>
      <c r="AW4" s="34"/>
      <c r="AX4" s="34"/>
      <c r="AY4" s="34"/>
      <c r="AZ4" s="34"/>
      <c r="BA4" s="34"/>
      <c r="BB4" s="34"/>
      <c r="BC4" s="38"/>
      <c r="BD4" s="42"/>
      <c r="BE4" s="34"/>
      <c r="BF4" s="38"/>
      <c r="BG4" s="108"/>
      <c r="BH4" s="108"/>
      <c r="BI4" s="108" t="s">
        <v>77</v>
      </c>
      <c r="BJ4" s="110"/>
      <c r="BK4" s="38"/>
      <c r="BL4" s="34"/>
      <c r="BM4" s="34"/>
      <c r="BN4" s="34"/>
      <c r="BO4" s="34"/>
      <c r="BP4" s="34"/>
      <c r="BQ4" s="34"/>
      <c r="BR4" s="38"/>
      <c r="BS4" s="34"/>
      <c r="BT4" s="34"/>
      <c r="BU4" s="34"/>
      <c r="BV4" s="34"/>
      <c r="BW4" s="34"/>
      <c r="BX4" s="38"/>
      <c r="BY4" s="34"/>
      <c r="BZ4" s="34"/>
      <c r="CA4" s="34"/>
      <c r="AOE4" s="28"/>
    </row>
    <row r="5" spans="1:79 1071:1071" s="27" customFormat="1">
      <c r="A5" s="32">
        <f>A4+1</f>
        <v>2</v>
      </c>
      <c r="B5" s="32"/>
      <c r="C5" s="32" t="s">
        <v>78</v>
      </c>
      <c r="D5" s="32"/>
      <c r="E5" s="34" t="s">
        <v>79</v>
      </c>
      <c r="F5" s="34" t="str">
        <f>IF(A5="listen","unmute","") &amp; IF(OR(A5="speak",A5="maketext"),"mute","")</f>
        <v/>
      </c>
      <c r="G5" s="34" t="str">
        <f t="shared" si="0"/>
        <v/>
      </c>
      <c r="H5" s="116" t="str">
        <f t="shared" si="1"/>
        <v/>
      </c>
      <c r="I5" s="36" t="str">
        <f t="shared" si="2"/>
        <v/>
      </c>
      <c r="J5" s="36" t="str">
        <f t="shared" si="3"/>
        <v/>
      </c>
      <c r="K5" s="116" t="str">
        <f t="shared" si="4"/>
        <v/>
      </c>
      <c r="L5" s="36"/>
      <c r="M5" s="136" t="str">
        <f t="shared" si="5"/>
        <v/>
      </c>
      <c r="N5" s="116" t="str">
        <f t="shared" si="6"/>
        <v/>
      </c>
      <c r="O5" s="129" t="str">
        <f t="shared" si="7"/>
        <v/>
      </c>
      <c r="P5" s="81"/>
      <c r="Q5" s="37" t="str">
        <f t="shared" si="8"/>
        <v/>
      </c>
      <c r="R5" s="141"/>
      <c r="S5" s="148" t="str">
        <f t="shared" si="9"/>
        <v/>
      </c>
      <c r="T5" s="137" t="str">
        <f t="shared" si="10"/>
        <v/>
      </c>
      <c r="U5" s="34"/>
      <c r="V5" s="35"/>
      <c r="W5" s="36"/>
      <c r="X5" s="36" t="str">
        <f>IF(Y5&lt;&gt;"x","",IF(P5="","",SUBSTITUTE(SUBSTITUTE(SUBSTITUTE(SUBSTITUTE(P5,"""","#Q")," ","#S"),",","#C"),"'","#A")))</f>
        <v/>
      </c>
      <c r="Y5" s="34"/>
      <c r="Z5" s="36" t="str">
        <f t="shared" si="11"/>
        <v/>
      </c>
      <c r="AA5" s="36"/>
      <c r="AB5" s="36" t="str" cm="1">
        <f t="array" ref="AB5">IF(C5="observe",channel_av_observe,"") &amp; IF(C5="register",channel_av_register,"")  &amp; IF(C5="listen",channel_av_listen,"")</f>
        <v/>
      </c>
      <c r="AC5" s="36" t="str">
        <f t="shared" si="12"/>
        <v/>
      </c>
      <c r="AD5" s="36" t="str">
        <f t="shared" si="13"/>
        <v/>
      </c>
      <c r="AE5" s="42"/>
      <c r="AF5" s="34"/>
      <c r="AG5" s="34"/>
      <c r="AH5" s="34"/>
      <c r="AI5" s="34"/>
      <c r="AJ5" s="34"/>
      <c r="AK5" s="56" t="str">
        <f t="shared" si="14"/>
        <v/>
      </c>
      <c r="AL5" s="34"/>
      <c r="AM5" s="133"/>
      <c r="AN5" s="34"/>
      <c r="AO5" s="34"/>
      <c r="AP5" s="34"/>
      <c r="AQ5" s="34"/>
      <c r="AR5" s="34"/>
      <c r="AS5" s="34"/>
      <c r="AT5" s="34"/>
      <c r="AU5" s="34"/>
      <c r="AV5" s="34"/>
      <c r="AW5" s="34"/>
      <c r="AX5" s="34"/>
      <c r="AY5" s="34"/>
      <c r="AZ5" s="34"/>
      <c r="BA5" s="34"/>
      <c r="BB5" s="34"/>
      <c r="BC5" s="38"/>
      <c r="BD5" s="42"/>
      <c r="BE5" s="34"/>
      <c r="BF5" s="38"/>
      <c r="BG5" s="108"/>
      <c r="BH5" s="108"/>
      <c r="BI5" s="108" t="s">
        <v>77</v>
      </c>
      <c r="BJ5" s="110"/>
      <c r="BK5" s="38"/>
      <c r="BL5" s="34"/>
      <c r="BM5" s="34"/>
      <c r="BN5" s="34"/>
      <c r="BO5" s="34"/>
      <c r="BP5" s="34"/>
      <c r="BQ5" s="34"/>
      <c r="BR5" s="38"/>
      <c r="BS5" s="34"/>
      <c r="BT5" s="34"/>
      <c r="BU5" s="34"/>
      <c r="BV5" s="34"/>
      <c r="BW5" s="34"/>
      <c r="BX5" s="38"/>
      <c r="BY5" s="34"/>
      <c r="BZ5" s="34"/>
      <c r="CA5" s="34"/>
      <c r="AOE5" s="28"/>
    </row>
    <row r="6" spans="1:79 1071:1071" s="27" customFormat="1">
      <c r="A6" s="32">
        <f>A5+1</f>
        <v>3</v>
      </c>
      <c r="B6" s="32"/>
      <c r="C6" s="32" t="s">
        <v>80</v>
      </c>
      <c r="D6" s="32"/>
      <c r="E6" s="34" t="s">
        <v>81</v>
      </c>
      <c r="F6" s="34" t="str">
        <f>IF(A6="listen","unmute","") &amp; IF(OR(A6="speak",A6="maketext"),"mute","")</f>
        <v/>
      </c>
      <c r="G6" s="34" t="str">
        <f t="shared" si="0"/>
        <v/>
      </c>
      <c r="H6" s="116" t="str">
        <f t="shared" si="1"/>
        <v/>
      </c>
      <c r="I6" s="36" t="str">
        <f>IF(C6="screen","fakeplay","") &amp; IF(C6="mood","mood","") &amp; IF(C6="fakemake","fakemake","")  &amp; IF(C6="sound","sound","")</f>
        <v>sound</v>
      </c>
      <c r="J6" s="36" t="str">
        <f t="shared" si="3"/>
        <v>{"command" : "sound","id":%id,"sound_name":"%sound_name"}</v>
      </c>
      <c r="K6" s="116" t="str">
        <f>SUBSTITUTE(SUBSTITUTE(SUBSTITUTE(SUBSTITUTE(SUBSTITUTE(J6,"%id",A6),"%screens",D6),"%data",IF(P6="","{}",P6)),"%mood_num",B6),"%sound_name",AK6)</f>
        <v>{"command" : "sound","id":3,"sound_name":"003_welcome"}</v>
      </c>
      <c r="L6" s="36"/>
      <c r="M6" s="136" t="str">
        <f t="shared" si="5"/>
        <v/>
      </c>
      <c r="N6" s="116" t="str">
        <f t="shared" si="6"/>
        <v/>
      </c>
      <c r="O6" s="129" t="str">
        <f t="shared" si="7"/>
        <v/>
      </c>
      <c r="P6" s="37" t="str">
        <f>IF(Y6&lt;&gt;"x","",j_opn&amp;"id"&amp;j_sep&amp;A6 &amp; j_nxt&amp;label_deepfake_name &amp; j_sep &amp; AH6 &amp; j_nxt&amp; "type" &amp; j_sep &amp; label_meat &amp; j_nxt&amp; "channel" &amp;j_sep&amp;Z6&amp;j_nxt&amp;label_role&amp;j_sep&amp;AE6&amp;j_nxt&amp;label_text&amp;j_sep&amp;AF6&amp;j_nxt&amp;label_gpt_emo&amp;j_sep&amp;BD6&amp;j_nxt&amp;label_gpt_tone&amp;j_sep&amp;BE6&amp;j_nxt&amp;label_animate&amp;j_sub_opn&amp;label_pre&amp;j_sep&amp;IF(do_anim=FALSE,"",BG6)&amp;j_nxt&amp;label_post&amp;j_sep&amp;IF(do_anim="","",BH6)&amp;j_nxt&amp;label_next_state&amp;j_sep&amp;BI6&amp;J_sub_cls&amp;label_azure&amp;j_sub_opn&amp;label_style&amp;j_sep&amp;BL6&amp;j_nxt&amp;label_degree&amp;J_sep_num&amp;BM6&amp;j_nxt_num&amp;label_pause&amp;J_sep_num&amp;BN6&amp;j_nxt_num&amp;label_pitch&amp;J_sep_num&amp;BO6&amp;j_nxt_num&amp;label_rate&amp;J_sep_num&amp;BP6&amp;j_nxt_num&amp;label_volume&amp;J_sep_num&amp;BQ6&amp;j_sub_cls_num&amp;label_emotion&amp;j_sub_opn&amp;label_sad&amp;J_sep_num&amp;BS6&amp;j_nxt_num&amp;label_joy&amp;J_sep_num&amp;BT6&amp;j_nxt_num&amp;label_fear&amp;J_sep_num&amp;BU6&amp;j_nxt_num&amp;label_disgust&amp;J_sep_num&amp;BV6&amp;j_nxt_num&amp;label_anger&amp;J_sep_num&amp;BW6&amp;j_sub_cls_num&amp;label_sg&amp;j_sub_opn&amp;label_mood&amp;j_sep&amp;BY6&amp;j_nxt&amp;label_scale&amp;J_sep_num&amp;BZ6&amp;j_end_num)</f>
        <v/>
      </c>
      <c r="Q6" s="37" t="str">
        <f t="shared" si="8"/>
        <v/>
      </c>
      <c r="R6" s="141"/>
      <c r="S6" s="148" t="str">
        <f t="shared" si="9"/>
        <v/>
      </c>
      <c r="T6" s="137" t="str">
        <f t="shared" si="10"/>
        <v/>
      </c>
      <c r="U6" s="39"/>
      <c r="V6" s="35" t="str">
        <f>IF(OR(P6="",Y6=""),"",osc_exe_npmosc&amp;" --host "&amp;osc_ip&amp;":"&amp;osc_port_control&amp;" "&amp; osc_channel_meat_stub &amp; "  " &amp; j_qot &amp;X6 &amp; j_qot)</f>
        <v/>
      </c>
      <c r="W6" s="36" t="str">
        <f>IF(P6="","",osc_exe_sendosc&amp;" "&amp;osc_ip&amp;" "&amp; osc_port_control &amp;" "&amp;Z6&amp;" s "&amp;SUBSTITUTE(SUBSTITUTE(SUBSTITUTE(SUBSTITUTE(SUBSTITUTE(SUBSTITUTE(SUBSTITUTE(P6,"""","\"&amp;"""")," ","\ "),"}","\}"),"?","\?"),"(","\("),")","\)"),"|","\|"))</f>
        <v/>
      </c>
      <c r="X6" s="36" t="str">
        <f>IF(Y6&lt;&gt;"x","",IF(P6="","",SUBSTITUTE(SUBSTITUTE(SUBSTITUTE(SUBSTITUTE(P6,"""","#Q")," ","#S"),",","#C"),"'","#A")))</f>
        <v/>
      </c>
      <c r="Y6" s="40"/>
      <c r="Z6" s="36" t="str">
        <f t="shared" si="11"/>
        <v/>
      </c>
      <c r="AA6" s="36"/>
      <c r="AB6" s="36" t="str" cm="1">
        <f t="array" ref="AB6">IF(C6="observe",channel_av_observe,"") &amp; IF(C6="register",channel_av_register,"")  &amp; IF(C6="listen",channel_av_listen,"")</f>
        <v/>
      </c>
      <c r="AC6" s="36" t="str">
        <f t="shared" si="12"/>
        <v/>
      </c>
      <c r="AD6" s="36" t="str">
        <f t="shared" si="13"/>
        <v/>
      </c>
      <c r="AE6" s="42" t="s">
        <v>82</v>
      </c>
      <c r="AF6" s="37" t="s">
        <v>83</v>
      </c>
      <c r="AG6" s="37"/>
      <c r="AH6" s="113" t="s">
        <v>84</v>
      </c>
      <c r="AI6" s="37"/>
      <c r="AJ6" s="114">
        <f>A6</f>
        <v>3</v>
      </c>
      <c r="AK6" s="56" t="str">
        <f t="shared" si="14"/>
        <v>003_welcome</v>
      </c>
      <c r="AL6" s="37"/>
      <c r="AM6" s="133"/>
      <c r="AN6" s="37"/>
      <c r="AO6" s="37"/>
      <c r="AP6" s="37"/>
      <c r="AQ6" s="37"/>
      <c r="AR6" s="37"/>
      <c r="AS6" s="37"/>
      <c r="AT6" s="37"/>
      <c r="AU6" s="37"/>
      <c r="AV6" s="37"/>
      <c r="AW6" s="37"/>
      <c r="AX6" s="37"/>
      <c r="AY6" s="37"/>
      <c r="AZ6" s="37"/>
      <c r="BA6" s="37"/>
      <c r="BB6" s="37"/>
      <c r="BC6" s="41"/>
      <c r="BD6" s="42"/>
      <c r="BE6" s="42"/>
      <c r="BF6" s="41"/>
      <c r="BG6" s="108"/>
      <c r="BH6" s="108"/>
      <c r="BI6" s="108" t="s">
        <v>77</v>
      </c>
      <c r="BJ6" s="110"/>
      <c r="BK6" s="41"/>
      <c r="BL6" s="42"/>
      <c r="BM6" s="35">
        <v>0</v>
      </c>
      <c r="BN6" s="35">
        <v>0</v>
      </c>
      <c r="BO6" s="35">
        <v>0</v>
      </c>
      <c r="BP6" s="35">
        <v>0</v>
      </c>
      <c r="BQ6" s="35">
        <v>0</v>
      </c>
      <c r="BR6" s="41"/>
      <c r="BS6" s="35">
        <v>-1</v>
      </c>
      <c r="BT6" s="35">
        <v>-1</v>
      </c>
      <c r="BU6" s="35">
        <v>-1</v>
      </c>
      <c r="BV6" s="35">
        <v>-1</v>
      </c>
      <c r="BW6" s="35">
        <v>-1</v>
      </c>
      <c r="BX6" s="41"/>
      <c r="BY6" s="34"/>
      <c r="BZ6" s="43">
        <v>-1</v>
      </c>
      <c r="CA6" s="43">
        <v>-1</v>
      </c>
      <c r="AOE6" s="28"/>
    </row>
    <row r="7" spans="1:79 1071:1071" s="27" customFormat="1">
      <c r="A7" s="32">
        <f t="shared" ref="A7:A83" si="15">A6+1</f>
        <v>4</v>
      </c>
      <c r="B7" s="32"/>
      <c r="C7" s="32" t="s">
        <v>85</v>
      </c>
      <c r="D7" s="32"/>
      <c r="E7" s="34" t="s">
        <v>86</v>
      </c>
      <c r="F7"/>
      <c r="G7" s="34" t="str">
        <f t="shared" si="0"/>
        <v/>
      </c>
      <c r="H7" s="116" t="str">
        <f t="shared" si="1"/>
        <v/>
      </c>
      <c r="I7" s="36" t="str">
        <f t="shared" si="2"/>
        <v/>
      </c>
      <c r="J7" s="36" t="str">
        <f t="shared" si="3"/>
        <v/>
      </c>
      <c r="K7" s="116" t="str">
        <f>SUBSTITUTE(SUBSTITUTE(SUBSTITUTE(SUBSTITUTE(SUBSTITUTE(J7,"%id",A7),"%screens",D7),"%data",IF(P7="","{}",P7)),"%mood_num",B7),"%sound_name",AL7)</f>
        <v/>
      </c>
      <c r="L7" s="36"/>
      <c r="M7" s="136" t="str">
        <f t="shared" si="5"/>
        <v/>
      </c>
      <c r="N7" s="116" t="str">
        <f t="shared" si="6"/>
        <v/>
      </c>
      <c r="O7" s="129" t="str">
        <f t="shared" si="7"/>
        <v/>
      </c>
      <c r="P7" s="81"/>
      <c r="Q7" s="37" t="str">
        <f t="shared" si="8"/>
        <v/>
      </c>
      <c r="R7" s="141" t="s">
        <v>87</v>
      </c>
      <c r="S7" s="148" t="str">
        <f t="shared" si="9"/>
        <v>user_sitsdown</v>
      </c>
      <c r="T7" s="137" t="str">
        <f t="shared" si="10"/>
        <v>{"av" : {"av-command": "vision-pose-update", "data": {"pose_state": "Sitting"}}}</v>
      </c>
      <c r="U7" s="43"/>
      <c r="V7" s="35"/>
      <c r="W7" s="36"/>
      <c r="X7" s="36"/>
      <c r="Y7" s="34"/>
      <c r="Z7" s="36" t="str">
        <f t="shared" si="11"/>
        <v/>
      </c>
      <c r="AA7" s="36"/>
      <c r="AB7" s="36" t="str" cm="1">
        <f t="array" ref="AB7">IF(C7="observe",channel_av_observe,"") &amp; IF(C7="register",channel_av_register,"")  &amp; IF(C7="listen",channel_av_listen,"")</f>
        <v>/observe</v>
      </c>
      <c r="AC7" s="36" t="str">
        <f t="shared" si="12"/>
        <v/>
      </c>
      <c r="AD7" s="36" t="str">
        <f t="shared" si="13"/>
        <v/>
      </c>
      <c r="AE7" s="42"/>
      <c r="AF7" s="35"/>
      <c r="AG7" s="35"/>
      <c r="AH7" s="35"/>
      <c r="AI7" s="35"/>
      <c r="AJ7" s="35"/>
      <c r="AL7" s="56" t="str">
        <f>IF(AH7="","",TEXT(SUBSTITUTE(AJ7," ","_"),"000") &amp; "_" &amp; AH7)</f>
        <v/>
      </c>
      <c r="AM7" s="133"/>
      <c r="AN7" s="35"/>
      <c r="AO7" s="35"/>
      <c r="AP7" s="35"/>
      <c r="AQ7" s="35"/>
      <c r="AR7" s="35"/>
      <c r="AS7" s="35"/>
      <c r="AT7" s="35"/>
      <c r="AU7" s="35"/>
      <c r="AV7" s="35"/>
      <c r="AW7" s="35"/>
      <c r="AX7" s="35"/>
      <c r="AY7" s="35"/>
      <c r="AZ7" s="35"/>
      <c r="BA7" s="35"/>
      <c r="BB7" s="35"/>
      <c r="BC7" s="44"/>
      <c r="BD7" s="42"/>
      <c r="BE7" s="35"/>
      <c r="BF7" s="44"/>
      <c r="BG7" s="108"/>
      <c r="BH7" s="108"/>
      <c r="BI7" s="108" t="s">
        <v>77</v>
      </c>
      <c r="BJ7" s="110"/>
      <c r="BK7" s="44"/>
      <c r="BL7" s="35"/>
      <c r="BM7" s="35"/>
      <c r="BN7" s="35"/>
      <c r="BO7" s="35"/>
      <c r="BP7" s="35"/>
      <c r="BQ7" s="35"/>
      <c r="BR7" s="44"/>
      <c r="BS7" s="35"/>
      <c r="BT7" s="35"/>
      <c r="BU7" s="35"/>
      <c r="BV7" s="35"/>
      <c r="BW7" s="35"/>
      <c r="BX7" s="44"/>
      <c r="BY7" s="34"/>
      <c r="BZ7" s="43"/>
      <c r="CA7" s="43"/>
      <c r="AOE7" s="28"/>
    </row>
    <row r="8" spans="1:79 1071:1071" s="27" customFormat="1">
      <c r="A8" s="32">
        <f>A7+1</f>
        <v>5</v>
      </c>
      <c r="B8" s="32"/>
      <c r="C8" s="32" t="s">
        <v>80</v>
      </c>
      <c r="D8" s="32"/>
      <c r="E8" s="34" t="s">
        <v>88</v>
      </c>
      <c r="F8" s="34" t="str">
        <f>IF(A8="listen","unmute","") &amp; IF(OR(A8="speak",A8="maketext"),"mute","")</f>
        <v/>
      </c>
      <c r="G8" s="34" t="str">
        <f t="shared" si="0"/>
        <v/>
      </c>
      <c r="H8" s="116" t="str">
        <f t="shared" ref="H8" si="16">IFERROR(LOOKUP(G8, table_observe_commands),"")</f>
        <v/>
      </c>
      <c r="I8" s="36" t="str">
        <f>IF(C8="screen","fakeplay","") &amp; IF(C8="mood","mood","") &amp; IF(C8="fakemake","fakemake","")  &amp; IF(C8="sound","sound","")</f>
        <v>sound</v>
      </c>
      <c r="J8" s="36" t="str">
        <f t="shared" ref="J8" si="17">IFERROR(LOOKUP(I8, table_td_commands),"")</f>
        <v>{"command" : "sound","id":%id,"sound_name":"%sound_name"}</v>
      </c>
      <c r="K8" s="116" t="str">
        <f>SUBSTITUTE(SUBSTITUTE(SUBSTITUTE(SUBSTITUTE(SUBSTITUTE(J8,"%id",A8),"%screens",D8),"%data",IF(P8="","{}",P8)),"%mood_num",B8),"%sound_name",AK8)</f>
        <v>{"command" : "sound","id":5,"sound_name":"005_welcome"}</v>
      </c>
      <c r="L8" s="36"/>
      <c r="M8" s="136" t="str">
        <f t="shared" ref="M8" si="18">IF(L8&lt;&gt;"",L8,IF(C8="maketext","unmute","")&amp;IF(C8="speak","speak","")&amp;IF(C8="listen","mute",""))</f>
        <v/>
      </c>
      <c r="N8" s="116" t="str">
        <f t="shared" ref="N8" si="19">IFERROR(LOOKUP(M8, table_bot_commands),"")</f>
        <v/>
      </c>
      <c r="O8" s="129" t="str">
        <f t="shared" ref="O8" si="20">SUBSTITUTE(SUBSTITUTE(N8,"%prompt",""&amp;AG8&amp;""),"%text",AF8)</f>
        <v/>
      </c>
      <c r="P8" s="37" t="str">
        <f>IF(Y8&lt;&gt;"x","",j_opn&amp;"id"&amp;j_sep&amp;A8 &amp; j_nxt&amp;label_deepfake_name &amp; j_sep &amp; AH8 &amp; j_nxt&amp; "type" &amp; j_sep &amp; label_meat &amp; j_nxt&amp; "channel" &amp;j_sep&amp;Z8&amp;j_nxt&amp;label_role&amp;j_sep&amp;AE8&amp;j_nxt&amp;label_text&amp;j_sep&amp;AF8&amp;j_nxt&amp;label_gpt_emo&amp;j_sep&amp;BD8&amp;j_nxt&amp;label_gpt_tone&amp;j_sep&amp;BE8&amp;j_nxt&amp;label_animate&amp;j_sub_opn&amp;label_pre&amp;j_sep&amp;IF(do_anim=FALSE,"",BG8)&amp;j_nxt&amp;label_post&amp;j_sep&amp;IF(do_anim="","",BH8)&amp;j_nxt&amp;label_next_state&amp;j_sep&amp;BI8&amp;J_sub_cls&amp;label_azure&amp;j_sub_opn&amp;label_style&amp;j_sep&amp;BL8&amp;j_nxt&amp;label_degree&amp;J_sep_num&amp;BM8&amp;j_nxt_num&amp;label_pause&amp;J_sep_num&amp;BN8&amp;j_nxt_num&amp;label_pitch&amp;J_sep_num&amp;BO8&amp;j_nxt_num&amp;label_rate&amp;J_sep_num&amp;BP8&amp;j_nxt_num&amp;label_volume&amp;J_sep_num&amp;BQ8&amp;j_sub_cls_num&amp;label_emotion&amp;j_sub_opn&amp;label_sad&amp;J_sep_num&amp;BS8&amp;j_nxt_num&amp;label_joy&amp;J_sep_num&amp;BT8&amp;j_nxt_num&amp;label_fear&amp;J_sep_num&amp;BU8&amp;j_nxt_num&amp;label_disgust&amp;J_sep_num&amp;BV8&amp;j_nxt_num&amp;label_anger&amp;J_sep_num&amp;BW8&amp;j_sub_cls_num&amp;label_sg&amp;j_sub_opn&amp;label_mood&amp;j_sep&amp;BY8&amp;j_nxt&amp;label_scale&amp;J_sep_num&amp;BZ8&amp;j_end_num)</f>
        <v/>
      </c>
      <c r="Q8" s="37" t="str">
        <f t="shared" ref="Q8" si="21">IF(AND(C8&lt;&gt;"speak_gpt",C8&lt;&gt;"faketomask"),P8,"") &amp; IF(C8="maketext",j_opn&amp;"id"&amp;j_sep&amp;A8 &amp; j_nxt &amp; "type" &amp; j_sep &amp; label_meat &amp; j_nxt&amp; "channel" &amp;j_sep  &amp; Z8&amp; j_nxt&amp; "state" &amp; j_sep &amp; "think" &amp; j_qot &amp; j_cls,"")</f>
        <v/>
      </c>
      <c r="R8" s="141"/>
      <c r="S8" s="148" t="str">
        <f t="shared" ref="S8" si="22">IF(R8&lt;&gt;"", R8, IF(OR(C8="speak",C8="speak_gpt",C8="play"),trigger_mask_spoke,"") &amp; IF(C8="listen",trigger_user_spoke,"") &amp; IF(C8="maketext","mask_generated","") &amp; IF(C8="screen","clone_spoke","") )</f>
        <v/>
      </c>
      <c r="T8" s="137" t="str">
        <f t="shared" ref="T8" si="23">IFERROR(LOOKUP(S8,table_triggers),S8)</f>
        <v/>
      </c>
      <c r="U8" s="39"/>
      <c r="V8" s="35" t="str">
        <f>IF(OR(P8="",Y8=""),"",osc_exe_npmosc&amp;" --host "&amp;osc_ip&amp;":"&amp;osc_port_control&amp;" "&amp; osc_channel_meat_stub &amp; "  " &amp; j_qot &amp;X8 &amp; j_qot)</f>
        <v/>
      </c>
      <c r="W8" s="36" t="str">
        <f>IF(P8="","",osc_exe_sendosc&amp;" "&amp;osc_ip&amp;" "&amp; osc_port_control &amp;" "&amp;Z8&amp;" s "&amp;SUBSTITUTE(SUBSTITUTE(SUBSTITUTE(SUBSTITUTE(SUBSTITUTE(SUBSTITUTE(SUBSTITUTE(P8,"""","\"&amp;"""")," ","\ "),"}","\}"),"?","\?"),"(","\("),")","\)"),"|","\|"))</f>
        <v/>
      </c>
      <c r="X8" s="36" t="str">
        <f>IF(Y8&lt;&gt;"x","",IF(P8="","",SUBSTITUTE(SUBSTITUTE(SUBSTITUTE(SUBSTITUTE(P8,"""","#Q")," ","#S"),",","#C"),"'","#A")))</f>
        <v/>
      </c>
      <c r="Y8" s="40"/>
      <c r="Z8" s="36" t="str">
        <f t="shared" si="11"/>
        <v/>
      </c>
      <c r="AA8" s="36"/>
      <c r="AB8" s="36" t="str" cm="1">
        <f t="array" ref="AB8">IF(C8="observe",channel_av_observe,"") &amp; IF(C8="register",channel_av_register,"")  &amp; IF(C8="listen",channel_av_listen,"")</f>
        <v/>
      </c>
      <c r="AC8" s="36" t="str">
        <f t="shared" ref="AC8" si="24">IF(C8="mood",channel_td_mood,"") &amp; IF(C8="makefakes_td",channel_td_makefakes,"") &amp; IF(C8="pause",channel_td_pause,"")  &amp; IF(C8="screen",channel_td_screen,"")</f>
        <v/>
      </c>
      <c r="AD8" s="36" t="str">
        <f t="shared" ref="AD8" si="25">IF(C8="maketext",channel_bw_generate,"")</f>
        <v/>
      </c>
      <c r="AE8" s="42" t="s">
        <v>82</v>
      </c>
      <c r="AF8" s="37"/>
      <c r="AG8" s="37"/>
      <c r="AH8" s="113" t="s">
        <v>84</v>
      </c>
      <c r="AI8" s="37"/>
      <c r="AJ8" s="114">
        <f>A8</f>
        <v>5</v>
      </c>
      <c r="AK8" s="56" t="str">
        <f t="shared" ref="AK8" si="26">IF(AH8="","",TEXT(SUBSTITUTE(AJ8," ","_"),"000") &amp; "_" &amp; AH8)</f>
        <v>005_welcome</v>
      </c>
      <c r="AL8" s="37"/>
      <c r="AM8" s="133"/>
      <c r="AN8" s="37"/>
      <c r="AO8" s="37"/>
      <c r="AP8" s="37"/>
      <c r="AQ8" s="37"/>
      <c r="AR8" s="37"/>
      <c r="AS8" s="37"/>
      <c r="AT8" s="37"/>
      <c r="AU8" s="37"/>
      <c r="AV8" s="37"/>
      <c r="AW8" s="37"/>
      <c r="AX8" s="37"/>
      <c r="AY8" s="37"/>
      <c r="AZ8" s="37"/>
      <c r="BA8" s="37"/>
      <c r="BB8" s="37"/>
      <c r="BC8" s="41"/>
      <c r="BD8" s="42"/>
      <c r="BE8" s="42"/>
      <c r="BF8" s="41"/>
      <c r="BG8" s="108"/>
      <c r="BH8" s="108"/>
      <c r="BI8" s="108" t="s">
        <v>77</v>
      </c>
      <c r="BJ8" s="110"/>
      <c r="BK8" s="41"/>
      <c r="BL8" s="42"/>
      <c r="BM8" s="35">
        <v>0</v>
      </c>
      <c r="BN8" s="35">
        <v>0</v>
      </c>
      <c r="BO8" s="35">
        <v>0</v>
      </c>
      <c r="BP8" s="35">
        <v>0</v>
      </c>
      <c r="BQ8" s="35">
        <v>0</v>
      </c>
      <c r="BR8" s="41"/>
      <c r="BS8" s="35">
        <v>-1</v>
      </c>
      <c r="BT8" s="35">
        <v>-1</v>
      </c>
      <c r="BU8" s="35">
        <v>-1</v>
      </c>
      <c r="BV8" s="35">
        <v>-1</v>
      </c>
      <c r="BW8" s="35">
        <v>-1</v>
      </c>
      <c r="BX8" s="41"/>
      <c r="BY8" s="34"/>
      <c r="BZ8" s="43">
        <v>-1</v>
      </c>
      <c r="CA8" s="43">
        <v>-1</v>
      </c>
      <c r="AOE8" s="28"/>
    </row>
    <row r="9" spans="1:79 1071:1071" s="27" customFormat="1" ht="30">
      <c r="A9" s="32">
        <f>A8+1</f>
        <v>6</v>
      </c>
      <c r="B9" s="32">
        <v>3</v>
      </c>
      <c r="C9" s="32" t="s">
        <v>73</v>
      </c>
      <c r="D9" s="32"/>
      <c r="E9" s="33" t="s">
        <v>89</v>
      </c>
      <c r="F9" t="s">
        <v>90</v>
      </c>
      <c r="G9" s="34" t="str">
        <f t="shared" si="0"/>
        <v>start-capture-image</v>
      </c>
      <c r="H9" s="116" t="str">
        <f t="shared" si="1"/>
        <v>{"av-command": "vision-cam-capture", "data": {"capture_image": true}}</v>
      </c>
      <c r="I9" s="36" t="str">
        <f t="shared" si="2"/>
        <v>mood</v>
      </c>
      <c r="J9" s="36" t="str">
        <f t="shared" si="3"/>
        <v>{"command" : "mood","id":%id,"mood_num":"%mood_num"}</v>
      </c>
      <c r="K9" s="116" t="str">
        <f t="shared" ref="K9:K72" si="27">SUBSTITUTE(SUBSTITUTE(SUBSTITUTE(SUBSTITUTE(SUBSTITUTE(J9,"%id",A9),"%screens",D9),"%data",IF(P9="","{}",P9)),"%mood_num",B9),"%sound_name",AK9)</f>
        <v>{"command" : "mood","id":6,"mood_num":"3"}</v>
      </c>
      <c r="L9" s="36"/>
      <c r="M9" s="136" t="str">
        <f t="shared" si="5"/>
        <v/>
      </c>
      <c r="N9" s="116" t="str">
        <f t="shared" si="6"/>
        <v/>
      </c>
      <c r="O9" s="129" t="str">
        <f t="shared" si="7"/>
        <v/>
      </c>
      <c r="P9" s="81"/>
      <c r="Q9" s="37" t="str">
        <f t="shared" si="8"/>
        <v/>
      </c>
      <c r="R9" s="141">
        <v>10</v>
      </c>
      <c r="S9" s="148">
        <f t="shared" si="9"/>
        <v>10</v>
      </c>
      <c r="T9" s="137">
        <f t="shared" si="10"/>
        <v>10</v>
      </c>
      <c r="U9" s="43"/>
      <c r="V9" s="35"/>
      <c r="W9" s="36"/>
      <c r="X9" s="36"/>
      <c r="Y9" s="34"/>
      <c r="Z9" s="36" t="str">
        <f t="shared" si="11"/>
        <v/>
      </c>
      <c r="AA9" s="36"/>
      <c r="AB9" s="36" t="str" cm="1">
        <f t="array" ref="AB9">IF(C9="observe",channel_av_observe,"") &amp; IF(C9="register",channel_av_register,"")  &amp; IF(C9="listen",channel_av_listen,"")</f>
        <v/>
      </c>
      <c r="AC9" s="36" t="str">
        <f t="shared" si="12"/>
        <v>/mood</v>
      </c>
      <c r="AD9" s="36" t="str">
        <f t="shared" si="13"/>
        <v/>
      </c>
      <c r="AE9" s="42"/>
      <c r="AF9" s="35"/>
      <c r="AG9" s="35"/>
      <c r="AH9" s="35" t="s">
        <v>91</v>
      </c>
      <c r="AI9" s="35"/>
      <c r="AJ9" s="114">
        <f>A9</f>
        <v>6</v>
      </c>
      <c r="AK9" s="56" t="str">
        <f t="shared" si="14"/>
        <v>006_cue_assistant</v>
      </c>
      <c r="AL9" s="35"/>
      <c r="AM9" s="133"/>
      <c r="AN9" s="35"/>
      <c r="AO9" s="35"/>
      <c r="AP9" s="35"/>
      <c r="AQ9" s="35"/>
      <c r="AR9" s="35"/>
      <c r="AS9" s="35"/>
      <c r="AT9" s="35"/>
      <c r="AU9" s="35"/>
      <c r="AV9" s="35"/>
      <c r="AW9" s="35"/>
      <c r="AX9" s="35"/>
      <c r="AY9" s="35"/>
      <c r="AZ9" s="35"/>
      <c r="BA9" s="35"/>
      <c r="BB9" s="35"/>
      <c r="BC9" s="44"/>
      <c r="BD9" s="42"/>
      <c r="BE9" s="35"/>
      <c r="BF9" s="44"/>
      <c r="BG9" s="108"/>
      <c r="BH9" s="108"/>
      <c r="BI9" s="108" t="s">
        <v>77</v>
      </c>
      <c r="BJ9" s="110"/>
      <c r="BK9" s="44"/>
      <c r="BL9" s="35"/>
      <c r="BM9" s="35"/>
      <c r="BN9" s="35"/>
      <c r="BO9" s="35"/>
      <c r="BP9" s="35"/>
      <c r="BQ9" s="35"/>
      <c r="BR9" s="44"/>
      <c r="BS9" s="35"/>
      <c r="BT9" s="35"/>
      <c r="BU9" s="35"/>
      <c r="BV9" s="35"/>
      <c r="BW9" s="35"/>
      <c r="BX9" s="44"/>
      <c r="BY9" s="34"/>
      <c r="BZ9" s="43"/>
      <c r="CA9" s="43"/>
      <c r="AOE9" s="28"/>
    </row>
    <row r="10" spans="1:79 1071:1071" s="27" customFormat="1">
      <c r="A10" s="32">
        <f t="shared" si="15"/>
        <v>7</v>
      </c>
      <c r="B10" s="32"/>
      <c r="C10" s="32" t="s">
        <v>78</v>
      </c>
      <c r="D10" s="32"/>
      <c r="E10" s="34" t="s">
        <v>92</v>
      </c>
      <c r="F10" s="34" t="str">
        <f t="shared" ref="F10:F26" si="28">IF(A10="listen","unmute","") &amp; IF(OR(A10="speak",A10="maketext"),"mute","")</f>
        <v/>
      </c>
      <c r="G10" s="34" t="str">
        <f t="shared" si="0"/>
        <v/>
      </c>
      <c r="H10" s="116" t="str">
        <f t="shared" si="1"/>
        <v/>
      </c>
      <c r="I10" s="36" t="str">
        <f t="shared" si="2"/>
        <v/>
      </c>
      <c r="J10" s="36" t="str">
        <f t="shared" si="3"/>
        <v/>
      </c>
      <c r="K10" s="116" t="str">
        <f t="shared" si="27"/>
        <v/>
      </c>
      <c r="L10" s="36"/>
      <c r="M10" s="136" t="str">
        <f t="shared" si="5"/>
        <v/>
      </c>
      <c r="N10" s="116" t="str">
        <f t="shared" si="6"/>
        <v/>
      </c>
      <c r="O10" s="129" t="str">
        <f t="shared" si="7"/>
        <v/>
      </c>
      <c r="P10" s="37"/>
      <c r="Q10" s="37" t="str">
        <f t="shared" si="8"/>
        <v/>
      </c>
      <c r="R10" s="141"/>
      <c r="S10" s="148" t="str">
        <f t="shared" si="9"/>
        <v/>
      </c>
      <c r="T10" s="137" t="str">
        <f t="shared" si="10"/>
        <v/>
      </c>
      <c r="U10" s="45"/>
      <c r="V10" s="35" t="str">
        <f>IF(P10="","",osc_exe_npmosc&amp;" --host "&amp;osc_ip&amp;":"&amp;osc_port_control&amp;" "&amp;osc_channel_meat_say&amp; "  " &amp;X10)</f>
        <v/>
      </c>
      <c r="W10" s="36" t="str">
        <f>IF(P10="","",osc_exe_sendosc&amp;" "&amp;osc_ip&amp;" "&amp; osc_port_control &amp;" "&amp;Z10&amp;" s "&amp;SUBSTITUTE(SUBSTITUTE(SUBSTITUTE(SUBSTITUTE(SUBSTITUTE(SUBSTITUTE(SUBSTITUTE(P10,"""","\"&amp;"""")," ","\ "),"}","\}"),"?","\?"),"(","\("),")","\)"),"|","\|"))</f>
        <v/>
      </c>
      <c r="X10" s="36" t="str">
        <f t="shared" ref="X10:X56" si="29">IF(Y10&lt;&gt;"x","",IF(P10="","",SUBSTITUTE(SUBSTITUTE(SUBSTITUTE(SUBSTITUTE(P10,"""","#Q")," ","#S"),",","#C"),"'","#A")))</f>
        <v/>
      </c>
      <c r="Y10" s="34"/>
      <c r="Z10" s="36" t="str">
        <f t="shared" si="11"/>
        <v/>
      </c>
      <c r="AA10" s="36"/>
      <c r="AB10" s="36" t="str" cm="1">
        <f t="array" ref="AB10">IF(C10="observe",channel_av_observe,"") &amp; IF(C10="register",channel_av_register,"")  &amp; IF(C10="listen",channel_av_listen,"")</f>
        <v/>
      </c>
      <c r="AC10" s="36" t="str">
        <f t="shared" si="12"/>
        <v/>
      </c>
      <c r="AD10" s="36" t="str">
        <f t="shared" si="13"/>
        <v/>
      </c>
      <c r="AE10" s="42"/>
      <c r="AF10" s="35"/>
      <c r="AG10" s="35"/>
      <c r="AH10" s="35"/>
      <c r="AI10" s="35"/>
      <c r="AJ10" s="35"/>
      <c r="AK10" s="56" t="str">
        <f t="shared" si="14"/>
        <v/>
      </c>
      <c r="AL10" s="35"/>
      <c r="AM10" s="133"/>
      <c r="AN10" s="35"/>
      <c r="AO10" s="35"/>
      <c r="AP10" s="35"/>
      <c r="AQ10" s="35"/>
      <c r="AR10" s="35"/>
      <c r="AS10" s="35"/>
      <c r="AT10" s="35"/>
      <c r="AU10" s="35"/>
      <c r="AV10" s="35"/>
      <c r="AW10" s="35"/>
      <c r="AX10" s="35"/>
      <c r="AY10" s="35"/>
      <c r="AZ10" s="35"/>
      <c r="BA10" s="35"/>
      <c r="BB10" s="35"/>
      <c r="BC10" s="44"/>
      <c r="BD10" s="42"/>
      <c r="BE10" s="35"/>
      <c r="BF10" s="44"/>
      <c r="BG10" s="108"/>
      <c r="BH10" s="108"/>
      <c r="BI10" s="108" t="s">
        <v>77</v>
      </c>
      <c r="BJ10" s="110"/>
      <c r="BK10" s="44"/>
      <c r="BL10" s="35"/>
      <c r="BM10" s="35"/>
      <c r="BN10" s="35"/>
      <c r="BO10" s="35"/>
      <c r="BP10" s="35"/>
      <c r="BQ10" s="35"/>
      <c r="BR10" s="44"/>
      <c r="BS10" s="35"/>
      <c r="BT10" s="35"/>
      <c r="BU10" s="35"/>
      <c r="BV10" s="35"/>
      <c r="BW10" s="35"/>
      <c r="BX10" s="44"/>
      <c r="BY10" s="34"/>
      <c r="BZ10" s="43"/>
      <c r="CA10" s="43"/>
      <c r="AOE10" s="28"/>
    </row>
    <row r="11" spans="1:79 1071:1071" s="27" customFormat="1">
      <c r="A11" s="32">
        <f t="shared" si="15"/>
        <v>8</v>
      </c>
      <c r="B11" s="32"/>
      <c r="C11" s="32" t="s">
        <v>78</v>
      </c>
      <c r="D11" s="32"/>
      <c r="E11" s="34" t="s">
        <v>93</v>
      </c>
      <c r="F11" s="34" t="str">
        <f t="shared" si="28"/>
        <v/>
      </c>
      <c r="G11" s="34" t="str">
        <f t="shared" si="0"/>
        <v/>
      </c>
      <c r="H11" s="116" t="str">
        <f t="shared" si="1"/>
        <v/>
      </c>
      <c r="I11" s="36" t="str">
        <f t="shared" si="2"/>
        <v/>
      </c>
      <c r="J11" s="36" t="str">
        <f t="shared" si="3"/>
        <v/>
      </c>
      <c r="K11" s="116" t="str">
        <f t="shared" si="27"/>
        <v/>
      </c>
      <c r="L11" s="36"/>
      <c r="M11" s="136" t="str">
        <f t="shared" si="5"/>
        <v/>
      </c>
      <c r="N11" s="116" t="str">
        <f t="shared" si="6"/>
        <v/>
      </c>
      <c r="O11" s="129" t="str">
        <f t="shared" si="7"/>
        <v/>
      </c>
      <c r="P11" s="37"/>
      <c r="Q11" s="37" t="str">
        <f t="shared" si="8"/>
        <v/>
      </c>
      <c r="R11" s="141"/>
      <c r="S11" s="148" t="str">
        <f t="shared" si="9"/>
        <v/>
      </c>
      <c r="T11" s="137" t="str">
        <f t="shared" si="10"/>
        <v/>
      </c>
      <c r="U11" s="45"/>
      <c r="V11" s="35" t="str">
        <f>IF(P11="","",osc_exe_npmosc&amp;" --host "&amp;osc_ip&amp;":"&amp;osc_port_control&amp;" "&amp;osc_channel_meat_say&amp; "  " &amp;X11)</f>
        <v/>
      </c>
      <c r="W11" s="36" t="str">
        <f>IF(P11="","",osc_exe_sendosc&amp;" "&amp;osc_ip&amp;" "&amp; osc_port_control &amp;" "&amp;Z11&amp;" s "&amp;SUBSTITUTE(SUBSTITUTE(SUBSTITUTE(SUBSTITUTE(SUBSTITUTE(SUBSTITUTE(SUBSTITUTE(P11,"""","\"&amp;"""")," ","\ "),"}","\}"),"?","\?"),"(","\("),")","\)"),"|","\|"))</f>
        <v/>
      </c>
      <c r="X11" s="36" t="str">
        <f t="shared" si="29"/>
        <v/>
      </c>
      <c r="Y11" s="34"/>
      <c r="Z11" s="36" t="str">
        <f t="shared" si="11"/>
        <v/>
      </c>
      <c r="AA11" s="36"/>
      <c r="AB11" s="36" t="str" cm="1">
        <f t="array" ref="AB11">IF(C11="observe",channel_av_observe,"") &amp; IF(C11="register",channel_av_register,"")  &amp; IF(C11="listen",channel_av_listen,"")</f>
        <v/>
      </c>
      <c r="AC11" s="36" t="str">
        <f t="shared" si="12"/>
        <v/>
      </c>
      <c r="AD11" s="36" t="str">
        <f t="shared" si="13"/>
        <v/>
      </c>
      <c r="AE11" s="42"/>
      <c r="AF11" s="35"/>
      <c r="AG11" s="35"/>
      <c r="AH11" s="35"/>
      <c r="AI11" s="35"/>
      <c r="AJ11" s="35"/>
      <c r="AK11" s="56" t="str">
        <f t="shared" si="14"/>
        <v/>
      </c>
      <c r="AL11" s="35"/>
      <c r="AM11" s="133"/>
      <c r="AN11" s="35"/>
      <c r="AO11" s="35"/>
      <c r="AP11" s="35"/>
      <c r="AQ11" s="35"/>
      <c r="AR11" s="35"/>
      <c r="AS11" s="35"/>
      <c r="AT11" s="35"/>
      <c r="AU11" s="35"/>
      <c r="AV11" s="35"/>
      <c r="AW11" s="35"/>
      <c r="AX11" s="35"/>
      <c r="AY11" s="35"/>
      <c r="AZ11" s="35"/>
      <c r="BA11" s="35"/>
      <c r="BB11" s="35"/>
      <c r="BC11" s="44"/>
      <c r="BD11" s="42"/>
      <c r="BE11" s="35"/>
      <c r="BF11" s="44"/>
      <c r="BG11" s="108"/>
      <c r="BH11" s="108"/>
      <c r="BI11" s="108" t="s">
        <v>77</v>
      </c>
      <c r="BJ11" s="110"/>
      <c r="BK11" s="44"/>
      <c r="BL11" s="35"/>
      <c r="BM11" s="35"/>
      <c r="BN11" s="35"/>
      <c r="BO11" s="35"/>
      <c r="BP11" s="35"/>
      <c r="BQ11" s="35"/>
      <c r="BR11" s="44"/>
      <c r="BS11" s="35"/>
      <c r="BT11" s="35"/>
      <c r="BU11" s="35"/>
      <c r="BV11" s="35"/>
      <c r="BW11" s="35"/>
      <c r="BX11" s="44"/>
      <c r="BY11" s="34"/>
      <c r="BZ11" s="43"/>
      <c r="CA11" s="43"/>
      <c r="AOE11" s="28"/>
    </row>
    <row r="12" spans="1:79 1071:1071" s="27" customFormat="1">
      <c r="A12" s="32">
        <f t="shared" si="15"/>
        <v>9</v>
      </c>
      <c r="B12" s="32"/>
      <c r="C12" s="32" t="s">
        <v>78</v>
      </c>
      <c r="D12" s="32"/>
      <c r="E12" s="34" t="s">
        <v>94</v>
      </c>
      <c r="F12"/>
      <c r="G12" s="34" t="str">
        <f t="shared" si="0"/>
        <v/>
      </c>
      <c r="H12" s="116" t="str">
        <f t="shared" si="1"/>
        <v/>
      </c>
      <c r="I12" s="36" t="str">
        <f t="shared" si="2"/>
        <v/>
      </c>
      <c r="J12" s="36" t="str">
        <f t="shared" si="3"/>
        <v/>
      </c>
      <c r="K12" s="116" t="str">
        <f t="shared" si="27"/>
        <v/>
      </c>
      <c r="L12" s="36"/>
      <c r="M12" s="136" t="str">
        <f t="shared" si="5"/>
        <v/>
      </c>
      <c r="N12" s="116" t="str">
        <f t="shared" si="6"/>
        <v/>
      </c>
      <c r="O12" s="129" t="str">
        <f t="shared" si="7"/>
        <v/>
      </c>
      <c r="P12" s="81"/>
      <c r="Q12" s="37" t="str">
        <f t="shared" si="8"/>
        <v/>
      </c>
      <c r="R12" s="141"/>
      <c r="S12" s="148" t="str">
        <f t="shared" si="9"/>
        <v/>
      </c>
      <c r="T12" s="137" t="str">
        <f t="shared" si="10"/>
        <v/>
      </c>
      <c r="U12" s="45"/>
      <c r="V12" s="35" t="str">
        <f>IF(OR(P12="",Y12=""),"",osc_exe_npmosc&amp;" --host "&amp;osc_ip&amp;":"&amp;osc_port_control&amp;" "&amp;Z12&amp; "  " &amp; j_qot &amp;X12 &amp; j_qot)</f>
        <v/>
      </c>
      <c r="W12" s="36" t="str">
        <f t="shared" ref="W12:W56" si="30">IF(OR(P12="",Y12=""),"",osc_exe_sendosc&amp;" "&amp;osc_ip&amp;" "&amp; osc_port_control &amp;" "&amp;Z12&amp;" s "&amp;SUBSTITUTE(SUBSTITUTE(SUBSTITUTE(SUBSTITUTE(SUBSTITUTE(SUBSTITUTE(SUBSTITUTE(P12,"""","\"&amp;"""")," ","\ "),"}","\}"),"?","\?"),"(","\("),")","\)"),"|","\|"))</f>
        <v/>
      </c>
      <c r="X12" s="36" t="str">
        <f t="shared" si="29"/>
        <v/>
      </c>
      <c r="Y12" s="34"/>
      <c r="Z12" s="36" t="str">
        <f t="shared" si="11"/>
        <v/>
      </c>
      <c r="AA12" s="36"/>
      <c r="AB12" s="36" t="str" cm="1">
        <f t="array" ref="AB12">IF(C12="observe",channel_av_observe,"") &amp; IF(C12="register",channel_av_register,"")  &amp; IF(C12="listen",channel_av_listen,"")</f>
        <v/>
      </c>
      <c r="AC12" s="36" t="str">
        <f t="shared" si="12"/>
        <v/>
      </c>
      <c r="AD12" s="36" t="str">
        <f t="shared" si="13"/>
        <v/>
      </c>
      <c r="AE12" s="42"/>
      <c r="AF12" s="35"/>
      <c r="AG12" s="35"/>
      <c r="AH12" s="35"/>
      <c r="AI12" s="35"/>
      <c r="AJ12" s="35"/>
      <c r="AK12" s="56" t="str">
        <f t="shared" si="14"/>
        <v/>
      </c>
      <c r="AL12" s="35"/>
      <c r="AM12" s="133"/>
      <c r="AN12" s="35"/>
      <c r="AO12" s="35"/>
      <c r="AP12" s="35"/>
      <c r="AQ12" s="35"/>
      <c r="AR12" s="35"/>
      <c r="AS12" s="35"/>
      <c r="AT12" s="35"/>
      <c r="AU12" s="35"/>
      <c r="AV12" s="35"/>
      <c r="AW12" s="35"/>
      <c r="AX12" s="35"/>
      <c r="AY12" s="35"/>
      <c r="AZ12" s="35"/>
      <c r="BA12" s="35"/>
      <c r="BB12" s="35"/>
      <c r="BC12" s="44"/>
      <c r="BD12" s="42"/>
      <c r="BE12" s="35"/>
      <c r="BF12" s="44"/>
      <c r="BG12" s="108"/>
      <c r="BH12" s="108"/>
      <c r="BI12" s="108" t="s">
        <v>77</v>
      </c>
      <c r="BJ12" s="110"/>
      <c r="BK12" s="44"/>
      <c r="BL12" s="35"/>
      <c r="BM12" s="35"/>
      <c r="BN12" s="35"/>
      <c r="BO12" s="35"/>
      <c r="BP12" s="35"/>
      <c r="BQ12" s="35"/>
      <c r="BR12" s="44"/>
      <c r="BS12" s="35"/>
      <c r="BT12" s="35"/>
      <c r="BU12" s="35"/>
      <c r="BV12" s="35"/>
      <c r="BW12" s="35"/>
      <c r="BX12" s="44"/>
      <c r="BY12" s="34"/>
      <c r="BZ12" s="43"/>
      <c r="CA12" s="43"/>
      <c r="AOE12" s="28"/>
    </row>
    <row r="13" spans="1:79 1071:1071" s="27" customFormat="1">
      <c r="A13" s="32">
        <f t="shared" si="15"/>
        <v>10</v>
      </c>
      <c r="B13" s="32"/>
      <c r="C13" s="32" t="s">
        <v>78</v>
      </c>
      <c r="D13" s="32"/>
      <c r="E13" s="34" t="s">
        <v>95</v>
      </c>
      <c r="F13" s="34" t="str">
        <f t="shared" si="28"/>
        <v/>
      </c>
      <c r="G13" s="34" t="str">
        <f t="shared" si="0"/>
        <v/>
      </c>
      <c r="H13" s="116" t="str">
        <f t="shared" si="1"/>
        <v/>
      </c>
      <c r="I13" s="36" t="str">
        <f t="shared" si="2"/>
        <v/>
      </c>
      <c r="J13" s="36" t="str">
        <f t="shared" si="3"/>
        <v/>
      </c>
      <c r="K13" s="116" t="str">
        <f t="shared" si="27"/>
        <v/>
      </c>
      <c r="L13" s="36"/>
      <c r="M13" s="136" t="str">
        <f t="shared" si="5"/>
        <v/>
      </c>
      <c r="N13" s="116" t="str">
        <f t="shared" si="6"/>
        <v/>
      </c>
      <c r="O13" s="129" t="str">
        <f t="shared" si="7"/>
        <v/>
      </c>
      <c r="P13" s="81"/>
      <c r="Q13" s="37" t="str">
        <f t="shared" si="8"/>
        <v/>
      </c>
      <c r="R13" s="141"/>
      <c r="S13" s="148" t="str">
        <f t="shared" si="9"/>
        <v/>
      </c>
      <c r="T13" s="137" t="str">
        <f t="shared" si="10"/>
        <v/>
      </c>
      <c r="U13" s="45"/>
      <c r="V13" s="35" t="str">
        <f>IF(OR(P13="",Y13=""),"",osc_exe_npmosc&amp;" --host "&amp;osc_ip&amp;":"&amp;osc_port_control&amp;" "&amp;Z13&amp; "  " &amp; j_qot &amp;X13 &amp; j_qot)</f>
        <v/>
      </c>
      <c r="W13" s="36" t="str">
        <f t="shared" si="30"/>
        <v/>
      </c>
      <c r="X13" s="36" t="str">
        <f t="shared" si="29"/>
        <v/>
      </c>
      <c r="Y13" s="34"/>
      <c r="Z13" s="36" t="str">
        <f t="shared" si="11"/>
        <v/>
      </c>
      <c r="AA13" s="36"/>
      <c r="AB13" s="36" t="str" cm="1">
        <f t="array" ref="AB13">IF(C13="observe",channel_av_observe,"") &amp; IF(C13="register",channel_av_register,"")  &amp; IF(C13="listen",channel_av_listen,"")</f>
        <v/>
      </c>
      <c r="AC13" s="36" t="str">
        <f t="shared" si="12"/>
        <v/>
      </c>
      <c r="AD13" s="36" t="str">
        <f t="shared" si="13"/>
        <v/>
      </c>
      <c r="AE13" s="42"/>
      <c r="AF13" s="35"/>
      <c r="AG13" s="35"/>
      <c r="AH13" s="35"/>
      <c r="AI13" s="35"/>
      <c r="AJ13" s="35"/>
      <c r="AK13" s="56" t="str">
        <f t="shared" si="14"/>
        <v/>
      </c>
      <c r="AL13" s="35"/>
      <c r="AM13" s="133"/>
      <c r="AN13" s="35"/>
      <c r="AO13" s="35"/>
      <c r="AP13" s="35"/>
      <c r="AQ13" s="35"/>
      <c r="AR13" s="35"/>
      <c r="AS13" s="35"/>
      <c r="AT13" s="35"/>
      <c r="AU13" s="35"/>
      <c r="AV13" s="35"/>
      <c r="AW13" s="35"/>
      <c r="AX13" s="35"/>
      <c r="AY13" s="35"/>
      <c r="AZ13" s="35"/>
      <c r="BA13" s="35"/>
      <c r="BB13" s="35"/>
      <c r="BC13" s="44"/>
      <c r="BD13" s="42"/>
      <c r="BE13" s="35"/>
      <c r="BF13" s="44"/>
      <c r="BG13" s="108"/>
      <c r="BH13" s="108"/>
      <c r="BI13" s="108" t="s">
        <v>77</v>
      </c>
      <c r="BJ13" s="110"/>
      <c r="BK13" s="44"/>
      <c r="BL13" s="35"/>
      <c r="BM13" s="35"/>
      <c r="BN13" s="35"/>
      <c r="BO13" s="35"/>
      <c r="BP13" s="35"/>
      <c r="BQ13" s="35"/>
      <c r="BR13" s="44"/>
      <c r="BS13" s="35"/>
      <c r="BT13" s="35"/>
      <c r="BU13" s="35"/>
      <c r="BV13" s="35"/>
      <c r="BW13" s="35"/>
      <c r="BX13" s="44"/>
      <c r="BY13" s="34"/>
      <c r="BZ13" s="43"/>
      <c r="CA13" s="43"/>
      <c r="AOE13" s="28"/>
    </row>
    <row r="14" spans="1:79 1071:1071" s="27" customFormat="1">
      <c r="A14" s="32">
        <f t="shared" si="15"/>
        <v>11</v>
      </c>
      <c r="B14" s="32"/>
      <c r="C14" s="32" t="s">
        <v>78</v>
      </c>
      <c r="D14" s="32"/>
      <c r="E14" s="34" t="s">
        <v>96</v>
      </c>
      <c r="F14" s="34" t="str">
        <f t="shared" si="28"/>
        <v/>
      </c>
      <c r="G14" s="34" t="str">
        <f t="shared" si="0"/>
        <v/>
      </c>
      <c r="H14" s="116" t="str">
        <f t="shared" si="1"/>
        <v/>
      </c>
      <c r="I14" s="36" t="str">
        <f t="shared" si="2"/>
        <v/>
      </c>
      <c r="J14" s="36" t="str">
        <f t="shared" si="3"/>
        <v/>
      </c>
      <c r="K14" s="116" t="str">
        <f t="shared" si="27"/>
        <v/>
      </c>
      <c r="L14" s="36"/>
      <c r="M14" s="136" t="str">
        <f t="shared" si="5"/>
        <v/>
      </c>
      <c r="N14" s="116" t="str">
        <f t="shared" si="6"/>
        <v/>
      </c>
      <c r="O14" s="129" t="str">
        <f t="shared" si="7"/>
        <v/>
      </c>
      <c r="P14" s="81"/>
      <c r="Q14" s="37" t="str">
        <f t="shared" si="8"/>
        <v/>
      </c>
      <c r="R14" s="141"/>
      <c r="S14" s="148" t="str">
        <f t="shared" si="9"/>
        <v/>
      </c>
      <c r="T14" s="137" t="str">
        <f t="shared" si="10"/>
        <v/>
      </c>
      <c r="U14" s="45"/>
      <c r="V14" s="35" t="str">
        <f>IF(OR(P14="",Y14=""),"",osc_exe_npmosc&amp;" --host "&amp;osc_ip&amp;":"&amp;osc_port_control&amp;" "&amp;Z14&amp; "  " &amp; j_qot &amp;X14 &amp; j_qot)</f>
        <v/>
      </c>
      <c r="W14" s="36" t="str">
        <f t="shared" si="30"/>
        <v/>
      </c>
      <c r="X14" s="36" t="str">
        <f t="shared" si="29"/>
        <v/>
      </c>
      <c r="Y14" s="34"/>
      <c r="Z14" s="36" t="str">
        <f t="shared" si="11"/>
        <v/>
      </c>
      <c r="AA14" s="36"/>
      <c r="AB14" s="36" t="str" cm="1">
        <f t="array" ref="AB14">IF(C14="observe",channel_av_observe,"") &amp; IF(C14="register",channel_av_register,"")  &amp; IF(C14="listen",channel_av_listen,"")</f>
        <v/>
      </c>
      <c r="AC14" s="36" t="str">
        <f t="shared" si="12"/>
        <v/>
      </c>
      <c r="AD14" s="36" t="str">
        <f t="shared" si="13"/>
        <v/>
      </c>
      <c r="AE14" s="42"/>
      <c r="AF14" s="35"/>
      <c r="AG14" s="35"/>
      <c r="AH14" s="35"/>
      <c r="AI14" s="35"/>
      <c r="AJ14" s="35"/>
      <c r="AK14" s="56" t="str">
        <f t="shared" si="14"/>
        <v/>
      </c>
      <c r="AL14" s="35"/>
      <c r="AM14" s="133"/>
      <c r="AN14" s="35"/>
      <c r="AO14" s="35"/>
      <c r="AP14" s="35"/>
      <c r="AQ14" s="35"/>
      <c r="AR14" s="35"/>
      <c r="AS14" s="35"/>
      <c r="AT14" s="35"/>
      <c r="AU14" s="35"/>
      <c r="AV14" s="35"/>
      <c r="AW14" s="35"/>
      <c r="AX14" s="35"/>
      <c r="AY14" s="35"/>
      <c r="AZ14" s="35"/>
      <c r="BA14" s="35"/>
      <c r="BB14" s="35"/>
      <c r="BC14" s="44"/>
      <c r="BD14" s="42"/>
      <c r="BE14" s="35"/>
      <c r="BF14" s="44"/>
      <c r="BG14" s="108"/>
      <c r="BH14" s="108"/>
      <c r="BI14" s="108" t="s">
        <v>77</v>
      </c>
      <c r="BJ14" s="110"/>
      <c r="BK14" s="44"/>
      <c r="BL14" s="35"/>
      <c r="BM14" s="35"/>
      <c r="BN14" s="35"/>
      <c r="BO14" s="35"/>
      <c r="BP14" s="35"/>
      <c r="BQ14" s="35"/>
      <c r="BR14" s="44"/>
      <c r="BS14" s="35"/>
      <c r="BT14" s="35"/>
      <c r="BU14" s="35"/>
      <c r="BV14" s="35"/>
      <c r="BW14" s="35"/>
      <c r="BX14" s="44"/>
      <c r="BY14" s="34"/>
      <c r="BZ14" s="43"/>
      <c r="CA14" s="43"/>
      <c r="AOE14" s="28"/>
    </row>
    <row r="15" spans="1:79 1071:1071" s="27" customFormat="1">
      <c r="A15" s="32">
        <f t="shared" si="15"/>
        <v>12</v>
      </c>
      <c r="B15" s="32"/>
      <c r="C15" s="32" t="s">
        <v>78</v>
      </c>
      <c r="D15" s="32"/>
      <c r="E15" s="34" t="s">
        <v>97</v>
      </c>
      <c r="F15" s="34" t="str">
        <f t="shared" si="28"/>
        <v/>
      </c>
      <c r="G15" s="34" t="str">
        <f t="shared" si="0"/>
        <v/>
      </c>
      <c r="H15" s="116" t="str">
        <f t="shared" si="1"/>
        <v/>
      </c>
      <c r="I15" s="36" t="str">
        <f t="shared" si="2"/>
        <v/>
      </c>
      <c r="J15" s="36" t="str">
        <f t="shared" si="3"/>
        <v/>
      </c>
      <c r="K15" s="116" t="str">
        <f t="shared" si="27"/>
        <v/>
      </c>
      <c r="L15" s="36"/>
      <c r="M15" s="136" t="str">
        <f t="shared" si="5"/>
        <v/>
      </c>
      <c r="N15" s="116" t="str">
        <f t="shared" si="6"/>
        <v/>
      </c>
      <c r="O15" s="129" t="str">
        <f t="shared" si="7"/>
        <v/>
      </c>
      <c r="P15" s="81"/>
      <c r="Q15" s="37" t="str">
        <f t="shared" si="8"/>
        <v/>
      </c>
      <c r="R15" s="141"/>
      <c r="S15" s="148" t="str">
        <f t="shared" si="9"/>
        <v/>
      </c>
      <c r="T15" s="137" t="str">
        <f t="shared" si="10"/>
        <v/>
      </c>
      <c r="U15" s="45"/>
      <c r="V15" s="35" t="str">
        <f>IF(OR(P15="",Y15=""),"",osc_exe_npmosc&amp;" --host "&amp;osc_ip&amp;":"&amp;osc_port_control&amp;" "&amp;Z15&amp; "  " &amp; j_qot &amp;X15 &amp; j_qot)</f>
        <v/>
      </c>
      <c r="W15" s="36" t="str">
        <f t="shared" si="30"/>
        <v/>
      </c>
      <c r="X15" s="36" t="str">
        <f t="shared" si="29"/>
        <v/>
      </c>
      <c r="Y15" s="34"/>
      <c r="Z15" s="36" t="str">
        <f t="shared" si="11"/>
        <v/>
      </c>
      <c r="AA15" s="36"/>
      <c r="AB15" s="36" t="str" cm="1">
        <f t="array" ref="AB15">IF(C15="observe",channel_av_observe,"") &amp; IF(C15="register",channel_av_register,"")  &amp; IF(C15="listen",channel_av_listen,"")</f>
        <v/>
      </c>
      <c r="AC15" s="36" t="str">
        <f t="shared" si="12"/>
        <v/>
      </c>
      <c r="AD15" s="36" t="str">
        <f t="shared" si="13"/>
        <v/>
      </c>
      <c r="AE15" s="42"/>
      <c r="AF15" s="35"/>
      <c r="AG15" s="35"/>
      <c r="AH15" s="35"/>
      <c r="AI15" s="35"/>
      <c r="AJ15" s="35"/>
      <c r="AK15" s="56" t="str">
        <f t="shared" si="14"/>
        <v/>
      </c>
      <c r="AL15" s="35"/>
      <c r="AM15" s="133"/>
      <c r="AN15" s="35"/>
      <c r="AO15" s="35"/>
      <c r="AP15" s="35"/>
      <c r="AQ15" s="35"/>
      <c r="AR15" s="35"/>
      <c r="AS15" s="35"/>
      <c r="AT15" s="35"/>
      <c r="AU15" s="35"/>
      <c r="AV15" s="35"/>
      <c r="AW15" s="35"/>
      <c r="AX15" s="35"/>
      <c r="AY15" s="35"/>
      <c r="AZ15" s="35"/>
      <c r="BA15" s="35"/>
      <c r="BB15" s="35"/>
      <c r="BC15" s="44"/>
      <c r="BD15" s="42"/>
      <c r="BE15" s="35"/>
      <c r="BF15" s="44"/>
      <c r="BG15" s="108"/>
      <c r="BH15" s="108"/>
      <c r="BI15" s="108" t="s">
        <v>77</v>
      </c>
      <c r="BJ15" s="110"/>
      <c r="BK15" s="44"/>
      <c r="BL15" s="35"/>
      <c r="BM15" s="35"/>
      <c r="BN15" s="35"/>
      <c r="BO15" s="35"/>
      <c r="BP15" s="35"/>
      <c r="BQ15" s="35"/>
      <c r="BR15" s="44"/>
      <c r="BS15" s="35"/>
      <c r="BT15" s="35"/>
      <c r="BU15" s="35"/>
      <c r="BV15" s="35"/>
      <c r="BW15" s="35"/>
      <c r="BX15" s="44"/>
      <c r="BY15" s="34"/>
      <c r="BZ15" s="43"/>
      <c r="CA15" s="43"/>
      <c r="AOE15" s="28"/>
    </row>
    <row r="16" spans="1:79 1071:1071" s="27" customFormat="1">
      <c r="A16" s="32">
        <f>A15+1</f>
        <v>13</v>
      </c>
      <c r="B16" s="32">
        <v>4</v>
      </c>
      <c r="C16" s="32" t="s">
        <v>73</v>
      </c>
      <c r="D16" s="32"/>
      <c r="E16" s="33" t="s">
        <v>98</v>
      </c>
      <c r="F16" s="34" t="s">
        <v>99</v>
      </c>
      <c r="G16" s="34" t="str">
        <f t="shared" ref="G16" si="31">IF(F16&lt;&gt;"",F16, IF(C16="listen","unmute","") &amp; IF(OR(C16="speak",C16="maketext",C16="play",C16="screen"),"mute","") )</f>
        <v>stop-capture-image</v>
      </c>
      <c r="H16" s="116" t="str">
        <f t="shared" ref="H16" si="32">IFERROR(LOOKUP(G16, table_observe_commands),"")</f>
        <v>{"av-command": "vision-cam-capture", "data": {"capture_image": false}}</v>
      </c>
      <c r="I16" s="36" t="str">
        <f t="shared" ref="I16" si="33">IF(C16="screen","fakeplay","") &amp; IF(C16="mood","mood","") &amp; IF(C16="fakemake","fakemake","")</f>
        <v>mood</v>
      </c>
      <c r="J16" s="36" t="str">
        <f t="shared" ref="J16" si="34">IFERROR(LOOKUP(I16, table_td_commands),"")</f>
        <v>{"command" : "mood","id":%id,"mood_num":"%mood_num"}</v>
      </c>
      <c r="K16" s="116" t="str">
        <f t="shared" si="27"/>
        <v>{"command" : "mood","id":13,"mood_num":"4"}</v>
      </c>
      <c r="L16" s="36"/>
      <c r="M16" s="136" t="str">
        <f t="shared" ref="M16" si="35">IF(L16&lt;&gt;"",L16,IF(C16="maketext","unmute","")&amp;IF(C16="speak","speak","")&amp;IF(C16="listen","mute",""))</f>
        <v/>
      </c>
      <c r="N16" s="116" t="str">
        <f t="shared" ref="N16" si="36">IFERROR(LOOKUP(M16, table_bot_commands),"")</f>
        <v/>
      </c>
      <c r="O16" s="129" t="str">
        <f t="shared" ref="O16" si="37">SUBSTITUTE(SUBSTITUTE(N16,"%prompt",""&amp;AG16&amp;""),"%text",AF16)</f>
        <v/>
      </c>
      <c r="P16" s="82"/>
      <c r="Q16" s="37" t="str">
        <f t="shared" ref="Q16" si="38">IF(AND(C16&lt;&gt;"speak_gpt",C16&lt;&gt;"faketomask"),P16,"") &amp; IF(C16="maketext",j_opn&amp;"id"&amp;j_sep&amp;A16 &amp; j_nxt &amp; "type" &amp; j_sep &amp; label_meat &amp; j_nxt&amp; "channel" &amp;j_sep  &amp; Z16&amp; j_nxt&amp; "state" &amp; j_sep &amp; "think" &amp; j_qot &amp; j_cls,"")</f>
        <v/>
      </c>
      <c r="R16" s="141">
        <v>0</v>
      </c>
      <c r="S16" s="148">
        <f t="shared" ref="S16" si="39">IF(R16&lt;&gt;"", R16, IF(OR(C16="speak",C16="speak_gpt",C16="play"),trigger_mask_spoke,"") &amp; IF(C16="listen",trigger_user_spoke,"") &amp; IF(C16="maketext","mask_generated","") &amp; IF(C16="screen","clone_spoke","") )</f>
        <v>0</v>
      </c>
      <c r="T16" s="137">
        <f t="shared" ref="T16" si="40">IFERROR(LOOKUP(S16,table_triggers),S16)</f>
        <v>0</v>
      </c>
      <c r="U16" s="34"/>
      <c r="V16" s="35"/>
      <c r="W16" s="36"/>
      <c r="X16" s="36" t="str">
        <f>IF(Y16&lt;&gt;"x","",IF(P16="","",SUBSTITUTE(SUBSTITUTE(SUBSTITUTE(SUBSTITUTE(P16,"""","#Q")," ","#S"),",","#C"),"'","#A")))</f>
        <v/>
      </c>
      <c r="Y16" s="34"/>
      <c r="Z16" s="36" t="str">
        <f t="shared" si="11"/>
        <v/>
      </c>
      <c r="AA16" s="36"/>
      <c r="AB16" s="36" t="str" cm="1">
        <f t="array" ref="AB16">IF(C16="observe",channel_av_observe,"") &amp; IF(C16="register",channel_av_register,"")  &amp; IF(C16="listen",channel_av_listen,"")</f>
        <v/>
      </c>
      <c r="AC16" s="36" t="str">
        <f t="shared" ref="AC16" si="41">IF(C16="mood",channel_td_mood,"") &amp; IF(C16="makefakes_td",channel_td_makefakes,"") &amp; IF(C16="pause",channel_td_pause,"")  &amp; IF(C16="screen",channel_td_screen,"")</f>
        <v>/mood</v>
      </c>
      <c r="AD16" s="36" t="str">
        <f t="shared" ref="AD16" si="42">IF(C16="maketext",channel_bw_generate,"")</f>
        <v/>
      </c>
      <c r="AE16" s="42"/>
      <c r="AF16" s="34"/>
      <c r="AG16" s="34"/>
      <c r="AH16" s="34"/>
      <c r="AI16" s="34"/>
      <c r="AJ16" s="34"/>
      <c r="AK16" s="56" t="str">
        <f t="shared" ref="AK16" si="43">IF(AH16="","",TEXT(SUBSTITUTE(AJ16," ","_"),"000") &amp; "_" &amp; AH16)</f>
        <v/>
      </c>
      <c r="AL16" s="34"/>
      <c r="AM16" s="133"/>
      <c r="AN16" s="34"/>
      <c r="AO16" s="34"/>
      <c r="AP16" s="34"/>
      <c r="AQ16" s="34"/>
      <c r="AR16" s="34"/>
      <c r="AS16" s="34"/>
      <c r="AT16" s="34"/>
      <c r="AU16" s="34"/>
      <c r="AV16" s="34"/>
      <c r="AW16" s="34"/>
      <c r="AX16" s="34"/>
      <c r="AY16" s="34"/>
      <c r="AZ16" s="34"/>
      <c r="BA16" s="34"/>
      <c r="BB16" s="34"/>
      <c r="BC16" s="38"/>
      <c r="BD16" s="42"/>
      <c r="BE16" s="34"/>
      <c r="BF16" s="38"/>
      <c r="BG16" s="108"/>
      <c r="BH16" s="108"/>
      <c r="BI16" s="108" t="s">
        <v>77</v>
      </c>
      <c r="BJ16" s="110"/>
      <c r="BK16" s="38"/>
      <c r="BL16" s="34"/>
      <c r="BM16" s="34"/>
      <c r="BN16" s="34"/>
      <c r="BO16" s="34"/>
      <c r="BP16" s="34"/>
      <c r="BQ16" s="34"/>
      <c r="BR16" s="38"/>
      <c r="BS16" s="34"/>
      <c r="BT16" s="34"/>
      <c r="BU16" s="34"/>
      <c r="BV16" s="34"/>
      <c r="BW16" s="34"/>
      <c r="BX16" s="38"/>
      <c r="BY16" s="34"/>
      <c r="BZ16" s="34"/>
      <c r="CA16" s="34"/>
      <c r="AOE16" s="28"/>
    </row>
    <row r="17" spans="1:86 1071:1071" s="27" customFormat="1">
      <c r="A17" s="32">
        <f>A16+1</f>
        <v>14</v>
      </c>
      <c r="B17" s="32"/>
      <c r="C17" s="32" t="s">
        <v>100</v>
      </c>
      <c r="D17" s="32"/>
      <c r="E17" s="34" t="s">
        <v>101</v>
      </c>
      <c r="F17" s="34" t="str">
        <f t="shared" si="28"/>
        <v/>
      </c>
      <c r="G17" s="34" t="str">
        <f t="shared" si="0"/>
        <v>mute</v>
      </c>
      <c r="H17" s="116" t="str">
        <f t="shared" si="1"/>
        <v>{"av-command": "stt-control", "data": {"listening": false}}</v>
      </c>
      <c r="I17" s="36" t="str">
        <f t="shared" si="2"/>
        <v/>
      </c>
      <c r="J17" s="36" t="str">
        <f t="shared" si="3"/>
        <v/>
      </c>
      <c r="K17" s="116" t="str">
        <f t="shared" si="27"/>
        <v/>
      </c>
      <c r="L17" s="36"/>
      <c r="M17" s="136" t="str">
        <f t="shared" si="5"/>
        <v>speak</v>
      </c>
      <c r="N17" s="116" t="str">
        <f t="shared" si="6"/>
        <v>{ "command": "speak", "entity": "Eliza", "data" : { "text" : "%text"}}</v>
      </c>
      <c r="O17" s="129" t="str">
        <f t="shared" si="7"/>
        <v>{ "command": "speak", "entity": "Eliza", "data" : { "text" : "Its good to see you again. How have you been?"}}</v>
      </c>
      <c r="P17" s="37" t="str">
        <f>IF(Y17&lt;&gt;"x","",j_opn&amp;"id"&amp;j_sep&amp;A17 &amp; j_nxt&amp;label_deepfake_name &amp; j_sep &amp; AH17 &amp; j_nxt&amp; "type" &amp; j_sep &amp; label_meat &amp; j_nxt&amp; "channel" &amp;j_sep&amp;Z17&amp;j_nxt&amp;label_role&amp;j_sep&amp;AE17&amp;j_nxt&amp;label_text&amp;j_sep&amp;AF17&amp;j_nxt&amp;label_gpt_emo&amp;j_sep&amp;BD17&amp;j_nxt&amp;label_gpt_tone&amp;j_sep&amp;BE17&amp;j_nxt&amp;label_animate&amp;j_sub_opn&amp;label_pre&amp;j_sep&amp;IF(do_anim=FALSE,"",BG17)&amp;j_nxt&amp;label_post&amp;j_sep&amp;IF(do_anim="","",BH17)&amp;j_nxt&amp;label_next_state&amp;j_sep&amp;BI17&amp;J_sub_cls&amp;label_azure&amp;j_sub_opn&amp;label_style&amp;j_sep&amp;BL17&amp;j_nxt&amp;label_degree&amp;J_sep_num&amp;BM17&amp;j_nxt_num&amp;label_pause&amp;J_sep_num&amp;BN17&amp;j_nxt_num&amp;label_pitch&amp;J_sep_num&amp;BO17&amp;j_nxt_num&amp;label_rate&amp;J_sep_num&amp;BP17&amp;j_nxt_num&amp;label_volume&amp;J_sep_num&amp;BQ17&amp;j_sub_cls_num&amp;label_emotion&amp;j_sub_opn&amp;label_sad&amp;J_sep_num&amp;BS17&amp;j_nxt_num&amp;label_joy&amp;J_sep_num&amp;BT17&amp;j_nxt_num&amp;label_fear&amp;J_sep_num&amp;BU17&amp;j_nxt_num&amp;label_disgust&amp;J_sep_num&amp;BV17&amp;j_nxt_num&amp;label_anger&amp;J_sep_num&amp;BW17&amp;j_sub_cls_num&amp;label_sg&amp;j_sub_opn&amp;label_mood&amp;j_sep&amp;BY17&amp;j_nxt&amp;label_scale&amp;J_sep_num&amp;BZ17&amp;j_end_num)</f>
        <v>{"id":"14","name":"how_have_you_been","type":"meat","channel":"say","role":"mask","text":"Its good to see you again. How have you been?","gpt_emotion":"","gpt_tone":"","animate":{"pre":"","post":"","next_state":""},"azure":{"style":"Default","degree":0.5,"pause":0,"pitch":0,"rate":0,"volume":0},"emotion":{"sadness":0,"joy":0.5,"fear":0,"disgust":0,"anger":0},"sgcom":{"mood":"positive","scale":0.5}}</v>
      </c>
      <c r="Q17" s="37" t="str">
        <f t="shared" si="8"/>
        <v>{"id":"14","name":"how_have_you_been","type":"meat","channel":"say","role":"mask","text":"Its good to see you again. How have you been?","gpt_emotion":"","gpt_tone":"","animate":{"pre":"","post":"","next_state":""},"azure":{"style":"Default","degree":0.5,"pause":0,"pitch":0,"rate":0,"volume":0},"emotion":{"sadness":0,"joy":0.5,"fear":0,"disgust":0,"anger":0},"sgcom":{"mood":"positive","scale":0.5}}</v>
      </c>
      <c r="R17" s="141"/>
      <c r="S17" s="148" t="str">
        <f t="shared" si="9"/>
        <v>mask_spoke</v>
      </c>
      <c r="T17" s="137" t="str">
        <f t="shared" si="10"/>
        <v>{"words-in" : { "entity" : "Eliza"} }</v>
      </c>
      <c r="U17" s="39"/>
      <c r="V17" s="35" t="str">
        <f>IF(OR(P17="",Y17=""),"",osc_exe_npmosc&amp;" --host "&amp;osc_ip&amp;":"&amp;osc_port_control&amp;" "&amp; osc_channel_meat_stub &amp; "  " &amp; j_qot &amp;X17 &amp; j_qot)</f>
        <v>/opt/homebrew/bin/osc --host 10.10.10.10:5918 /meat  "{#Qid#Q:#Q14#Q#C#Qname#Q:#Qhow_have_you_been#Q#C#Qtype#Q:#Qmeat#Q#C#Qchannel#Q:#Qsay#Q#C#Qrole#Q:#Qmask#Q#C#Qtext#Q:#QIts#Sgood#Sto#Ssee#Syou#Sagain.#SHow#Shave#Syou#Sbeen?#Q#C#Qgpt_emotion#Q:#Q#Q#C#Qgpt_tone#Q:#Q#Q#C#Qanimate#Q:{#Qpre#Q:#Q#Q#C#Qpost#Q:#Q#Q#C#Qnext_state#Q:#Q#Q}#C#Qazure#Q:{#Qstyle#Q:#QDefault#Q#C#Qdegree#Q:0.5#C#Qpause#Q:0#C#Qpitch#Q:0#C#Qrate#Q:0#C#Qvolume#Q:0}#C#Qemotion#Q:{#Qsadness#Q:0#C#Qjoy#Q:0.5#C#Qfear#Q:0#C#Qdisgust#Q:0#C#Qanger#Q:0}#C#Qsgcom#Q:{#Qmood#Q:#Qpositive#Q#C#Qscale#Q:0.5}}"</v>
      </c>
      <c r="W17" s="36" t="str">
        <f t="shared" si="30"/>
        <v>/opt/homebrew/bin/sendosc 10.10.10.10 5918 say s {\"id\":\"14\",\"name\":\"how_have_you_been\",\"type\":\"meat\",\"channel\":\"say\",\"role\":\"mask\",\"text\":\"Its\ good\ to\ see\ you\ again.\ How\ have\ you\ been\?\",\"gpt_emotion\":\"\",\"gpt_tone\":\"\",\"animate\":{\"pre\":\"\",\"post\":\"\",\"next_state\":\"\"\},\"azure\":{\"style\":\"Default\",\"degree\":0.5,\"pause\":0,\"pitch\":0,\"rate\":0,\"volume\":0\},\"emotion\":{\"sadness\":0,\"joy\":0.5,\"fear\":0,\"disgust\":0,\"anger\":0\},\"sgcom\":{\"mood\":\"positive\",\"scale\":0.5\}\}</v>
      </c>
      <c r="X17" s="36" t="str">
        <f t="shared" si="29"/>
        <v>{#Qid#Q:#Q14#Q#C#Qname#Q:#Qhow_have_you_been#Q#C#Qtype#Q:#Qmeat#Q#C#Qchannel#Q:#Qsay#Q#C#Qrole#Q:#Qmask#Q#C#Qtext#Q:#QIts#Sgood#Sto#Ssee#Syou#Sagain.#SHow#Shave#Syou#Sbeen?#Q#C#Qgpt_emotion#Q:#Q#Q#C#Qgpt_tone#Q:#Q#Q#C#Qanimate#Q:{#Qpre#Q:#Q#Q#C#Qpost#Q:#Q#Q#C#Qnext_state#Q:#Q#Q}#C#Qazure#Q:{#Qstyle#Q:#QDefault#Q#C#Qdegree#Q:0.5#C#Qpause#Q:0#C#Qpitch#Q:0#C#Qrate#Q:0#C#Qvolume#Q:0}#C#Qemotion#Q:{#Qsadness#Q:0#C#Qjoy#Q:0.5#C#Qfear#Q:0#C#Qdisgust#Q:0#C#Qanger#Q:0}#C#Qsgcom#Q:{#Qmood#Q:#Qpositive#Q#C#Qscale#Q:0.5}}</v>
      </c>
      <c r="Y17" s="40" t="s">
        <v>102</v>
      </c>
      <c r="Z17" s="36" t="str">
        <f t="shared" si="11"/>
        <v>say</v>
      </c>
      <c r="AA17" s="36"/>
      <c r="AB17" s="36" t="str" cm="1">
        <f t="array" ref="AB17">IF(C17="observe",channel_av_observe,"") &amp; IF(C17="register",channel_av_register,"")  &amp; IF(C17="listen",channel_av_listen,"")</f>
        <v/>
      </c>
      <c r="AC17" s="36" t="str">
        <f t="shared" si="12"/>
        <v/>
      </c>
      <c r="AD17" s="36" t="str">
        <f t="shared" si="13"/>
        <v/>
      </c>
      <c r="AE17" s="42" t="s">
        <v>103</v>
      </c>
      <c r="AF17" s="37" t="s">
        <v>104</v>
      </c>
      <c r="AG17" s="37"/>
      <c r="AH17" s="37" t="s">
        <v>105</v>
      </c>
      <c r="AI17" s="37"/>
      <c r="AJ17" s="114">
        <f>A17</f>
        <v>14</v>
      </c>
      <c r="AK17" s="56" t="str">
        <f>IF(AH17="","",TEXT(SUBSTITUTE(AJ17," ","_"),"000") &amp; "_" &amp; AH17)</f>
        <v>014_how_have_you_been</v>
      </c>
      <c r="AL17" s="37"/>
      <c r="AM17" s="133"/>
      <c r="AN17" s="37"/>
      <c r="AO17" s="37"/>
      <c r="AP17" s="37"/>
      <c r="AQ17" s="37"/>
      <c r="AR17" s="37"/>
      <c r="AS17" s="37"/>
      <c r="AT17" s="37"/>
      <c r="AU17" s="37"/>
      <c r="AV17" s="37"/>
      <c r="AW17" s="37"/>
      <c r="AX17" s="37"/>
      <c r="AY17" s="37"/>
      <c r="AZ17" s="37"/>
      <c r="BA17" s="37"/>
      <c r="BB17" s="37"/>
      <c r="BC17" s="41"/>
      <c r="BD17" s="42"/>
      <c r="BE17" s="42"/>
      <c r="BF17" s="41"/>
      <c r="BG17" s="108"/>
      <c r="BH17" s="108"/>
      <c r="BI17" s="108"/>
      <c r="BJ17" s="110"/>
      <c r="BK17" s="41"/>
      <c r="BL17" s="42" t="s">
        <v>106</v>
      </c>
      <c r="BM17" s="35" t="s">
        <v>107</v>
      </c>
      <c r="BN17" s="35">
        <v>0</v>
      </c>
      <c r="BO17" s="35">
        <v>0</v>
      </c>
      <c r="BP17" s="35">
        <v>0</v>
      </c>
      <c r="BQ17" s="35">
        <v>0</v>
      </c>
      <c r="BR17" s="41"/>
      <c r="BS17" s="35">
        <v>0</v>
      </c>
      <c r="BT17" s="35" t="s">
        <v>107</v>
      </c>
      <c r="BU17" s="35">
        <v>0</v>
      </c>
      <c r="BV17" s="35">
        <v>0</v>
      </c>
      <c r="BW17" s="35">
        <v>0</v>
      </c>
      <c r="BX17" s="41"/>
      <c r="BY17" s="34" t="s">
        <v>108</v>
      </c>
      <c r="BZ17" s="43" t="s">
        <v>107</v>
      </c>
      <c r="CA17" s="43" t="s">
        <v>107</v>
      </c>
      <c r="CB17" s="158" t="str">
        <f t="shared" ref="CB17:CB48" si="44">IF(Y17&lt;&gt;"x","",j_opn&amp;label_azure&amp;j_sub_opn&amp;label_style&amp;j_sep&amp;BL17&amp;j_nxt&amp;label_degree&amp;J_sep_num&amp;BM17&amp;j_nxt_num&amp;label_pause&amp;J_sep_num&amp;BN17&amp;j_nxt_num&amp;label_pitch&amp;J_sep_num&amp;BO17&amp;j_nxt_num&amp;label_rate&amp;J_sep_num&amp;BP17&amp;j_nxt_num&amp;label_volume&amp;J_sep_num&amp;BQ17&amp;j_sub_cls_num&amp;label_emotion&amp;j_sub_opn&amp;label_sad&amp;J_sep_num&amp;BS17&amp;j_nxt_num&amp;label_joy&amp;J_sep_num&amp;BT17&amp;j_nxt_num&amp;label_fear&amp;J_sep_num&amp;BU17&amp;j_nxt_num&amp;label_disgust&amp;J_sep_num&amp;BV17&amp;j_nxt_num&amp;label_anger&amp;J_sep_num&amp;BW17&amp;j_sub_cls_num&amp;label_sg&amp;j_sub_opn&amp;label_mood&amp;j_sep&amp;BY17&amp;j_nxt&amp;label_scale&amp;J_sep_num&amp;BZ17&amp;j_end_num)</f>
        <v>{"azure":{"style":"Default","degree":0.5,"pause":0,"pitch":0,"rate":0,"volume":0},"emotion":{"sadness":0,"joy":0.5,"fear":0,"disgust":0,"anger":0},"sgcom":{"mood":"positive","scale":0.5}}</v>
      </c>
      <c r="CC17" s="158"/>
      <c r="CD17" s="158"/>
      <c r="CE17" s="158"/>
      <c r="CF17" s="159"/>
      <c r="CG17" s="158"/>
      <c r="CH17" s="158"/>
      <c r="AOE17" s="28"/>
    </row>
    <row r="18" spans="1:86 1071:1071" s="27" customFormat="1">
      <c r="A18" s="32">
        <f t="shared" si="15"/>
        <v>15</v>
      </c>
      <c r="B18" s="32"/>
      <c r="C18" s="32" t="s">
        <v>109</v>
      </c>
      <c r="D18" s="32"/>
      <c r="E18" s="34" t="s">
        <v>110</v>
      </c>
      <c r="F18" s="34" t="str">
        <f t="shared" si="28"/>
        <v/>
      </c>
      <c r="G18" s="34" t="str">
        <f t="shared" si="0"/>
        <v>unmute</v>
      </c>
      <c r="H18" s="116" t="str">
        <f t="shared" si="1"/>
        <v>{"av-command": "stt-control", "data": {"listening": true}}</v>
      </c>
      <c r="I18" s="36" t="str">
        <f t="shared" si="2"/>
        <v/>
      </c>
      <c r="J18" s="36" t="str">
        <f t="shared" si="3"/>
        <v/>
      </c>
      <c r="K18" s="116" t="str">
        <f t="shared" si="27"/>
        <v/>
      </c>
      <c r="L18" s="36"/>
      <c r="M18" s="136" t="str">
        <f>IF(L18&lt;&gt;"",L18,IF(C18="maketext","unmute","")&amp;IF(C18="speak","speak","")&amp;IF(C18="listen","mute",""))</f>
        <v>mute</v>
      </c>
      <c r="N18" s="116" t="str">
        <f t="shared" si="6"/>
        <v>{ "command": "mute", "entity": "Eliza", "data" : null}</v>
      </c>
      <c r="O18" s="129" t="str">
        <f t="shared" si="7"/>
        <v>{ "command": "mute", "entity": "Eliza", "data" : null}</v>
      </c>
      <c r="P18" s="81"/>
      <c r="Q18" s="37" t="str">
        <f t="shared" si="8"/>
        <v/>
      </c>
      <c r="R18" s="141"/>
      <c r="S18" s="148" t="str">
        <f t="shared" si="9"/>
        <v>user_spoke</v>
      </c>
      <c r="T18" s="137" t="str">
        <f t="shared" si="10"/>
        <v>{"words-in" : { "entity" : "user"} }</v>
      </c>
      <c r="U18" s="45"/>
      <c r="V18" s="35" t="str">
        <f>IF(OR(P18="",Y18=""),"",osc_exe_npmosc&amp;" --host "&amp;osc_ip&amp;":"&amp;osc_port_control&amp;" "&amp;Z18&amp; "  " &amp; j_qot &amp;X18 &amp; j_qot)</f>
        <v/>
      </c>
      <c r="W18" s="36" t="str">
        <f t="shared" si="30"/>
        <v/>
      </c>
      <c r="X18" s="36" t="str">
        <f t="shared" si="29"/>
        <v/>
      </c>
      <c r="Y18" s="34"/>
      <c r="Z18" s="36" t="str">
        <f t="shared" si="11"/>
        <v/>
      </c>
      <c r="AA18" s="36"/>
      <c r="AB18" s="36" t="str" cm="1">
        <f t="array" ref="AB18">IF(C18="observe",channel_av_observe,"") &amp; IF(C18="register",channel_av_register,"")  &amp; IF(C18="listen",channel_av_listen,"")</f>
        <v>/listen</v>
      </c>
      <c r="AC18" s="36" t="str">
        <f t="shared" si="12"/>
        <v/>
      </c>
      <c r="AD18" s="36" t="str">
        <f t="shared" si="13"/>
        <v/>
      </c>
      <c r="AE18" s="42"/>
      <c r="AF18" s="46" t="s">
        <v>111</v>
      </c>
      <c r="AG18" s="46"/>
      <c r="AH18" s="47"/>
      <c r="AI18" s="47"/>
      <c r="AJ18" s="47"/>
      <c r="AK18" s="56" t="str">
        <f t="shared" si="14"/>
        <v/>
      </c>
      <c r="AL18" s="47"/>
      <c r="AM18" s="133"/>
      <c r="AN18" s="47"/>
      <c r="AO18" s="47"/>
      <c r="AP18" s="47"/>
      <c r="AQ18" s="47"/>
      <c r="AR18" s="47"/>
      <c r="AS18" s="47"/>
      <c r="AT18" s="47"/>
      <c r="AU18" s="47"/>
      <c r="AV18" s="47"/>
      <c r="AW18" s="47"/>
      <c r="AX18" s="47"/>
      <c r="AY18" s="47"/>
      <c r="AZ18" s="47"/>
      <c r="BA18" s="47"/>
      <c r="BB18" s="47"/>
      <c r="BC18" s="48"/>
      <c r="BD18" s="42"/>
      <c r="BE18" s="35"/>
      <c r="BF18" s="48"/>
      <c r="BG18" s="108"/>
      <c r="BH18" s="108"/>
      <c r="BI18" s="108"/>
      <c r="BJ18" s="110"/>
      <c r="BK18" s="48"/>
      <c r="BL18" s="47"/>
      <c r="BM18" s="35"/>
      <c r="BN18" s="35"/>
      <c r="BO18" s="35"/>
      <c r="BP18" s="35"/>
      <c r="BQ18" s="35"/>
      <c r="BR18" s="48"/>
      <c r="BS18" s="35"/>
      <c r="BT18" s="35"/>
      <c r="BU18" s="35"/>
      <c r="BV18" s="35"/>
      <c r="BW18" s="35"/>
      <c r="BX18" s="48"/>
      <c r="BY18" s="34"/>
      <c r="BZ18" s="43"/>
      <c r="CA18" s="43"/>
      <c r="CB18" s="158" t="str">
        <f t="shared" si="44"/>
        <v/>
      </c>
      <c r="AOE18" s="28"/>
    </row>
    <row r="19" spans="1:86 1071:1071" s="27" customFormat="1">
      <c r="A19" s="32">
        <f t="shared" si="15"/>
        <v>16</v>
      </c>
      <c r="B19" s="32"/>
      <c r="C19" s="32" t="s">
        <v>100</v>
      </c>
      <c r="D19" s="32"/>
      <c r="E19" s="34" t="s">
        <v>101</v>
      </c>
      <c r="F19" s="34" t="str">
        <f t="shared" si="28"/>
        <v/>
      </c>
      <c r="G19" s="34" t="str">
        <f t="shared" si="0"/>
        <v>mute</v>
      </c>
      <c r="H19" s="116" t="str">
        <f t="shared" si="1"/>
        <v>{"av-command": "stt-control", "data": {"listening": false}}</v>
      </c>
      <c r="I19" s="36" t="str">
        <f t="shared" si="2"/>
        <v/>
      </c>
      <c r="J19" s="36" t="str">
        <f t="shared" si="3"/>
        <v/>
      </c>
      <c r="K19" s="116" t="str">
        <f t="shared" si="27"/>
        <v/>
      </c>
      <c r="L19" s="36"/>
      <c r="M19" s="136" t="str">
        <f t="shared" ref="M19:M81" si="45">IF(L19&lt;&gt;"",L19,IF(C19="maketext","unmute","")&amp;IF(C19="speak","speak","")&amp;IF(C19="listen","mute",""))</f>
        <v>speak</v>
      </c>
      <c r="N19" s="116" t="str">
        <f t="shared" si="6"/>
        <v>{ "command": "speak", "entity": "Eliza", "data" : { "text" : "%text"}}</v>
      </c>
      <c r="O19" s="129" t="str">
        <f t="shared" si="7"/>
        <v>{ "command": "speak", "entity": "Eliza", "data" : { "text" : "Something is bothering you. What is it."}}</v>
      </c>
      <c r="P19" s="37" t="str">
        <f>IF(Y19&lt;&gt;"x","",j_opn&amp;"id"&amp;j_sep&amp;A19 &amp; j_nxt&amp;label_deepfake_name &amp; j_sep &amp; AH19 &amp; j_nxt&amp; "type" &amp; j_sep &amp; label_meat &amp; j_nxt&amp; "channel" &amp;j_sep&amp;Z19&amp;j_nxt&amp;label_role&amp;j_sep&amp;AE19&amp;j_nxt&amp;label_text&amp;j_sep&amp;AF19&amp;j_nxt&amp;label_gpt_emo&amp;j_sep&amp;BD19&amp;j_nxt&amp;label_gpt_tone&amp;j_sep&amp;BE19&amp;j_nxt&amp;label_animate&amp;j_sub_opn&amp;label_pre&amp;j_sep&amp;IF(do_anim=FALSE,"",BG19)&amp;j_nxt&amp;label_post&amp;j_sep&amp;IF(do_anim="","",BH19)&amp;j_nxt&amp;label_next_state&amp;j_sep&amp;BI19&amp;J_sub_cls&amp;label_azure&amp;j_sub_opn&amp;label_style&amp;j_sep&amp;BL19&amp;j_nxt&amp;label_degree&amp;J_sep_num&amp;BM19&amp;j_nxt_num&amp;label_pause&amp;J_sep_num&amp;BN19&amp;j_nxt_num&amp;label_pitch&amp;J_sep_num&amp;BO19&amp;j_nxt_num&amp;label_rate&amp;J_sep_num&amp;BP19&amp;j_nxt_num&amp;label_volume&amp;J_sep_num&amp;BQ19&amp;j_sub_cls_num&amp;label_emotion&amp;j_sub_opn&amp;label_sad&amp;J_sep_num&amp;BS19&amp;j_nxt_num&amp;label_joy&amp;J_sep_num&amp;BT19&amp;j_nxt_num&amp;label_fear&amp;J_sep_num&amp;BU19&amp;j_nxt_num&amp;label_disgust&amp;J_sep_num&amp;BV19&amp;j_nxt_num&amp;label_anger&amp;J_sep_num&amp;BW19&amp;j_sub_cls_num&amp;label_sg&amp;j_sub_opn&amp;label_mood&amp;j_sep&amp;BY19&amp;j_nxt&amp;label_scale&amp;J_sep_num&amp;BZ19&amp;j_end_num)</f>
        <v>{"id":"16","name":"something_bothering","type":"meat","channel":"say","role":"mask","text":"Something is bothering you. What is it.","gpt_emotion":"","gpt_tone":"","animate":{"pre":"","post":"","next_state":""},"azure":{"style":"Sad","degree":0.3,"pause":350,"pitch":0,"rate":0,"volume":0},"emotion":{"sadness":0.3,"joy":0.2,"fear":0,"disgust":0,"anger":0},"sgcom":{"mood":"neutral","scale":0.5}}</v>
      </c>
      <c r="Q19" s="37" t="str">
        <f t="shared" si="8"/>
        <v>{"id":"16","name":"something_bothering","type":"meat","channel":"say","role":"mask","text":"Something is bothering you. What is it.","gpt_emotion":"","gpt_tone":"","animate":{"pre":"","post":"","next_state":""},"azure":{"style":"Sad","degree":0.3,"pause":350,"pitch":0,"rate":0,"volume":0},"emotion":{"sadness":0.3,"joy":0.2,"fear":0,"disgust":0,"anger":0},"sgcom":{"mood":"neutral","scale":0.5}}</v>
      </c>
      <c r="R19" s="141"/>
      <c r="S19" s="148" t="str">
        <f t="shared" si="9"/>
        <v>mask_spoke</v>
      </c>
      <c r="T19" s="137" t="str">
        <f t="shared" si="10"/>
        <v>{"words-in" : { "entity" : "Eliza"} }</v>
      </c>
      <c r="U19" s="39"/>
      <c r="V19" s="35" t="str">
        <f>IF(OR(P19="",Y19=""),"",osc_exe_npmosc&amp;" --host "&amp;osc_ip&amp;":"&amp;osc_port_control&amp;" "&amp; osc_channel_meat_stub &amp; "  " &amp; j_qot &amp;X19 &amp; j_qot)</f>
        <v>/opt/homebrew/bin/osc --host 10.10.10.10:5918 /meat  "{#Qid#Q:#Q16#Q#C#Qname#Q:#Qsomething_bothering#Q#C#Qtype#Q:#Qmeat#Q#C#Qchannel#Q:#Qsay#Q#C#Qrole#Q:#Qmask#Q#C#Qtext#Q:#QSomething#Sis#Sbothering#Syou.#SWhat#Sis#Sit.#Q#C#Qgpt_emotion#Q:#Q#Q#C#Qgpt_tone#Q:#Q#Q#C#Qanimate#Q:{#Qpre#Q:#Q#Q#C#Qpost#Q:#Q#Q#C#Qnext_state#Q:#Q#Q}#C#Qazure#Q:{#Qstyle#Q:#QSad#Q#C#Qdegree#Q:0.3#C#Qpause#Q:350#C#Qpitch#Q:0#C#Qrate#Q:0#C#Qvolume#Q:0}#C#Qemotion#Q:{#Qsadness#Q:0.3#C#Qjoy#Q:0.2#C#Qfear#Q:0#C#Qdisgust#Q:0#C#Qanger#Q:0}#C#Qsgcom#Q:{#Qmood#Q:#Qneutral#Q#C#Qscale#Q:0.5}}"</v>
      </c>
      <c r="W19" s="36" t="str">
        <f t="shared" si="30"/>
        <v>/opt/homebrew/bin/sendosc 10.10.10.10 5918 say s {\"id\":\"16\",\"name\":\"something_bothering\",\"type\":\"meat\",\"channel\":\"say\",\"role\":\"mask\",\"text\":\"Something\ is\ bothering\ you.\ What\ is\ it.\",\"gpt_emotion\":\"\",\"gpt_tone\":\"\",\"animate\":{\"pre\":\"\",\"post\":\"\",\"next_state\":\"\"\},\"azure\":{\"style\":\"Sad\",\"degree\":0.3,\"pause\":350,\"pitch\":0,\"rate\":0,\"volume\":0\},\"emotion\":{\"sadness\":0.3,\"joy\":0.2,\"fear\":0,\"disgust\":0,\"anger\":0\},\"sgcom\":{\"mood\":\"neutral\",\"scale\":0.5\}\}</v>
      </c>
      <c r="X19" s="36" t="str">
        <f t="shared" si="29"/>
        <v>{#Qid#Q:#Q16#Q#C#Qname#Q:#Qsomething_bothering#Q#C#Qtype#Q:#Qmeat#Q#C#Qchannel#Q:#Qsay#Q#C#Qrole#Q:#Qmask#Q#C#Qtext#Q:#QSomething#Sis#Sbothering#Syou.#SWhat#Sis#Sit.#Q#C#Qgpt_emotion#Q:#Q#Q#C#Qgpt_tone#Q:#Q#Q#C#Qanimate#Q:{#Qpre#Q:#Q#Q#C#Qpost#Q:#Q#Q#C#Qnext_state#Q:#Q#Q}#C#Qazure#Q:{#Qstyle#Q:#QSad#Q#C#Qdegree#Q:0.3#C#Qpause#Q:350#C#Qpitch#Q:0#C#Qrate#Q:0#C#Qvolume#Q:0}#C#Qemotion#Q:{#Qsadness#Q:0.3#C#Qjoy#Q:0.2#C#Qfear#Q:0#C#Qdisgust#Q:0#C#Qanger#Q:0}#C#Qsgcom#Q:{#Qmood#Q:#Qneutral#Q#C#Qscale#Q:0.5}}</v>
      </c>
      <c r="Y19" s="40" t="s">
        <v>102</v>
      </c>
      <c r="Z19" s="36" t="str">
        <f t="shared" si="11"/>
        <v>say</v>
      </c>
      <c r="AA19" s="36"/>
      <c r="AB19" s="36" t="str" cm="1">
        <f t="array" ref="AB19">IF(C19="observe",channel_av_observe,"") &amp; IF(C19="register",channel_av_register,"")  &amp; IF(C19="listen",channel_av_listen,"")</f>
        <v/>
      </c>
      <c r="AC19" s="36" t="str">
        <f t="shared" si="12"/>
        <v/>
      </c>
      <c r="AD19" s="36" t="str">
        <f t="shared" si="13"/>
        <v/>
      </c>
      <c r="AE19" s="42" t="s">
        <v>103</v>
      </c>
      <c r="AF19" s="37" t="s">
        <v>112</v>
      </c>
      <c r="AG19" s="37"/>
      <c r="AH19" s="37" t="s">
        <v>113</v>
      </c>
      <c r="AI19" s="37"/>
      <c r="AJ19" s="114">
        <f>A19</f>
        <v>16</v>
      </c>
      <c r="AK19" s="56" t="str">
        <f>IF(AH19="","",TEXT(SUBSTITUTE(AJ19," ","_"),"000") &amp; "_" &amp; AH19)</f>
        <v>016_something_bothering</v>
      </c>
      <c r="AL19" s="37"/>
      <c r="AM19" s="133"/>
      <c r="AN19" s="37"/>
      <c r="AO19" s="37"/>
      <c r="AP19" s="37"/>
      <c r="AQ19" s="37"/>
      <c r="AR19" s="37"/>
      <c r="AS19" s="37"/>
      <c r="AT19" s="37"/>
      <c r="AU19" s="37"/>
      <c r="AV19" s="37"/>
      <c r="AW19" s="37"/>
      <c r="AX19" s="37"/>
      <c r="AY19" s="37"/>
      <c r="AZ19" s="37"/>
      <c r="BA19" s="37"/>
      <c r="BB19" s="37"/>
      <c r="BC19" s="41"/>
      <c r="BD19" s="42"/>
      <c r="BE19" s="42"/>
      <c r="BF19" s="41"/>
      <c r="BG19" s="108"/>
      <c r="BH19" s="108"/>
      <c r="BI19" s="108"/>
      <c r="BJ19" s="110"/>
      <c r="BK19" s="41"/>
      <c r="BL19" s="42" t="s">
        <v>114</v>
      </c>
      <c r="BM19" s="42" t="s">
        <v>115</v>
      </c>
      <c r="BN19" s="35">
        <v>350</v>
      </c>
      <c r="BO19" s="35">
        <v>0</v>
      </c>
      <c r="BP19" s="35">
        <v>0</v>
      </c>
      <c r="BQ19" s="35">
        <v>0</v>
      </c>
      <c r="BR19" s="41"/>
      <c r="BS19" s="35" t="s">
        <v>115</v>
      </c>
      <c r="BT19" s="35" t="s">
        <v>116</v>
      </c>
      <c r="BU19" s="35">
        <v>0</v>
      </c>
      <c r="BV19" s="35">
        <v>0</v>
      </c>
      <c r="BW19" s="35">
        <v>0</v>
      </c>
      <c r="BX19" s="41"/>
      <c r="BY19" s="34" t="s">
        <v>117</v>
      </c>
      <c r="BZ19" s="43" t="s">
        <v>107</v>
      </c>
      <c r="CA19" s="43" t="s">
        <v>107</v>
      </c>
      <c r="CB19" s="158" t="str">
        <f t="shared" si="44"/>
        <v>{"azure":{"style":"Sad","degree":0.3,"pause":350,"pitch":0,"rate":0,"volume":0},"emotion":{"sadness":0.3,"joy":0.2,"fear":0,"disgust":0,"anger":0},"sgcom":{"mood":"neutral","scale":0.5}}</v>
      </c>
      <c r="AOE19" s="28"/>
    </row>
    <row r="20" spans="1:86 1071:1071" s="27" customFormat="1">
      <c r="A20" s="32">
        <f t="shared" si="15"/>
        <v>17</v>
      </c>
      <c r="B20" s="32"/>
      <c r="C20" s="32" t="s">
        <v>100</v>
      </c>
      <c r="D20" s="32"/>
      <c r="E20" s="34" t="s">
        <v>101</v>
      </c>
      <c r="F20" s="34" t="str">
        <f t="shared" si="28"/>
        <v/>
      </c>
      <c r="G20" s="34" t="str">
        <f t="shared" si="0"/>
        <v>mute</v>
      </c>
      <c r="H20" s="116" t="str">
        <f t="shared" si="1"/>
        <v>{"av-command": "stt-control", "data": {"listening": false}}</v>
      </c>
      <c r="I20" s="36" t="str">
        <f t="shared" si="2"/>
        <v/>
      </c>
      <c r="J20" s="36" t="str">
        <f t="shared" si="3"/>
        <v/>
      </c>
      <c r="K20" s="116" t="str">
        <f t="shared" si="27"/>
        <v/>
      </c>
      <c r="L20" s="36"/>
      <c r="M20" s="136" t="str">
        <f t="shared" si="45"/>
        <v>speak</v>
      </c>
      <c r="N20" s="116" t="str">
        <f t="shared" si="6"/>
        <v>{ "command": "speak", "entity": "Eliza", "data" : { "text" : "%text"}}</v>
      </c>
      <c r="O20" s="129" t="str">
        <f t="shared" si="7"/>
        <v>{ "command": "speak", "entity": "Eliza", "data" : { "text" : "You can tell [prosody pitch=-20]me[/prosody]."}}</v>
      </c>
      <c r="P20" s="37" t="str">
        <f>IF(Y20&lt;&gt;"x","",j_opn&amp;"id"&amp;j_sep&amp;A20 &amp; j_nxt&amp;label_deepfake_name &amp; j_sep &amp; AH20 &amp; j_nxt&amp; "type" &amp; j_sep &amp; label_meat &amp; j_nxt&amp; "channel" &amp;j_sep&amp;Z20&amp;j_nxt&amp;label_role&amp;j_sep&amp;AE20&amp;j_nxt&amp;label_text&amp;j_sep&amp;AF20&amp;j_nxt&amp;label_gpt_emo&amp;j_sep&amp;BD20&amp;j_nxt&amp;label_gpt_tone&amp;j_sep&amp;BE20&amp;j_nxt&amp;label_animate&amp;j_sub_opn&amp;label_pre&amp;j_sep&amp;IF(do_anim=FALSE,"",BG20)&amp;j_nxt&amp;label_post&amp;j_sep&amp;IF(do_anim="","",BH20)&amp;j_nxt&amp;label_next_state&amp;j_sep&amp;BI20&amp;J_sub_cls&amp;label_azure&amp;j_sub_opn&amp;label_style&amp;j_sep&amp;BL20&amp;j_nxt&amp;label_degree&amp;J_sep_num&amp;BM20&amp;j_nxt_num&amp;label_pause&amp;J_sep_num&amp;BN20&amp;j_nxt_num&amp;label_pitch&amp;J_sep_num&amp;BO20&amp;j_nxt_num&amp;label_rate&amp;J_sep_num&amp;BP20&amp;j_nxt_num&amp;label_volume&amp;J_sep_num&amp;BQ20&amp;j_sub_cls_num&amp;label_emotion&amp;j_sub_opn&amp;label_sad&amp;J_sep_num&amp;BS20&amp;j_nxt_num&amp;label_joy&amp;J_sep_num&amp;BT20&amp;j_nxt_num&amp;label_fear&amp;J_sep_num&amp;BU20&amp;j_nxt_num&amp;label_disgust&amp;J_sep_num&amp;BV20&amp;j_nxt_num&amp;label_anger&amp;J_sep_num&amp;BW20&amp;j_sub_cls_num&amp;label_sg&amp;j_sub_opn&amp;label_mood&amp;j_sep&amp;BY20&amp;j_nxt&amp;label_scale&amp;J_sep_num&amp;BZ20&amp;j_end_num)</f>
        <v>{"id":"17","name":"you_can_tell_me","type":"meat","channel":"say","role":"mask","text":"You can tell [prosody pitch=-20]me[/prosody].","gpt_emotion":"","gpt_tone":"","animate":{"pre":"","post":"","next_state":""},"azure":{"style":"Whispering","degree":1,"pause":0,"pitch":0,"rate":0,"volume":0},"emotion":{"sadness":0.3,"joy":0.2,"fear":0,"disgust":0,"anger":0},"sgcom":{"mood":"neutral","scale":0.5}}</v>
      </c>
      <c r="Q20" s="37" t="str">
        <f t="shared" si="8"/>
        <v>{"id":"17","name":"you_can_tell_me","type":"meat","channel":"say","role":"mask","text":"You can tell [prosody pitch=-20]me[/prosody].","gpt_emotion":"","gpt_tone":"","animate":{"pre":"","post":"","next_state":""},"azure":{"style":"Whispering","degree":1,"pause":0,"pitch":0,"rate":0,"volume":0},"emotion":{"sadness":0.3,"joy":0.2,"fear":0,"disgust":0,"anger":0},"sgcom":{"mood":"neutral","scale":0.5}}</v>
      </c>
      <c r="R20" s="141"/>
      <c r="S20" s="148" t="str">
        <f t="shared" si="9"/>
        <v>mask_spoke</v>
      </c>
      <c r="T20" s="137" t="str">
        <f t="shared" si="10"/>
        <v>{"words-in" : { "entity" : "Eliza"} }</v>
      </c>
      <c r="U20" s="39"/>
      <c r="V20" s="35" t="str">
        <f>IF(OR(P20="",Y20=""),"",osc_exe_npmosc&amp;" --host "&amp;osc_ip&amp;":"&amp;osc_port_control&amp;" "&amp; osc_channel_meat_stub &amp; "  " &amp; j_qot &amp;X20 &amp; j_qot)</f>
        <v>/opt/homebrew/bin/osc --host 10.10.10.10:5918 /meat  "{#Qid#Q:#Q17#Q#C#Qname#Q:#Qyou_can_tell_me#Q#C#Qtype#Q:#Qmeat#Q#C#Qchannel#Q:#Qsay#Q#C#Qrole#Q:#Qmask#Q#C#Qtext#Q:#QYou#Scan#Stell#S[prosody#Spitch=-20]me[/prosody].#Q#C#Qgpt_emotion#Q:#Q#Q#C#Qgpt_tone#Q:#Q#Q#C#Qanimate#Q:{#Qpre#Q:#Q#Q#C#Qpost#Q:#Q#Q#C#Qnext_state#Q:#Q#Q}#C#Qazure#Q:{#Qstyle#Q:#QWhispering#Q#C#Qdegree#Q:1#C#Qpause#Q:0#C#Qpitch#Q:0#C#Qrate#Q:0#C#Qvolume#Q:0}#C#Qemotion#Q:{#Qsadness#Q:0.3#C#Qjoy#Q:0.2#C#Qfear#Q:0#C#Qdisgust#Q:0#C#Qanger#Q:0}#C#Qsgcom#Q:{#Qmood#Q:#Qneutral#Q#C#Qscale#Q:0.5}}"</v>
      </c>
      <c r="W20" s="36" t="str">
        <f t="shared" si="30"/>
        <v>/opt/homebrew/bin/sendosc 10.10.10.10 5918 say s {\"id\":\"17\",\"name\":\"you_can_tell_me\",\"type\":\"meat\",\"channel\":\"say\",\"role\":\"mask\",\"text\":\"You\ can\ tell\ [prosody\ pitch=-20]me[/prosody].\",\"gpt_emotion\":\"\",\"gpt_tone\":\"\",\"animate\":{\"pre\":\"\",\"post\":\"\",\"next_state\":\"\"\},\"azure\":{\"style\":\"Whispering\",\"degree\":1,\"pause\":0,\"pitch\":0,\"rate\":0,\"volume\":0\},\"emotion\":{\"sadness\":0.3,\"joy\":0.2,\"fear\":0,\"disgust\":0,\"anger\":0\},\"sgcom\":{\"mood\":\"neutral\",\"scale\":0.5\}\}</v>
      </c>
      <c r="X20" s="36" t="str">
        <f t="shared" si="29"/>
        <v>{#Qid#Q:#Q17#Q#C#Qname#Q:#Qyou_can_tell_me#Q#C#Qtype#Q:#Qmeat#Q#C#Qchannel#Q:#Qsay#Q#C#Qrole#Q:#Qmask#Q#C#Qtext#Q:#QYou#Scan#Stell#S[prosody#Spitch=-20]me[/prosody].#Q#C#Qgpt_emotion#Q:#Q#Q#C#Qgpt_tone#Q:#Q#Q#C#Qanimate#Q:{#Qpre#Q:#Q#Q#C#Qpost#Q:#Q#Q#C#Qnext_state#Q:#Q#Q}#C#Qazure#Q:{#Qstyle#Q:#QWhispering#Q#C#Qdegree#Q:1#C#Qpause#Q:0#C#Qpitch#Q:0#C#Qrate#Q:0#C#Qvolume#Q:0}#C#Qemotion#Q:{#Qsadness#Q:0.3#C#Qjoy#Q:0.2#C#Qfear#Q:0#C#Qdisgust#Q:0#C#Qanger#Q:0}#C#Qsgcom#Q:{#Qmood#Q:#Qneutral#Q#C#Qscale#Q:0.5}}</v>
      </c>
      <c r="Y20" s="40" t="s">
        <v>102</v>
      </c>
      <c r="Z20" s="36" t="str">
        <f t="shared" si="11"/>
        <v>say</v>
      </c>
      <c r="AA20" s="36"/>
      <c r="AB20" s="36" t="str" cm="1">
        <f t="array" ref="AB20">IF(C20="observe",channel_av_observe,"") &amp; IF(C20="register",channel_av_register,"")  &amp; IF(C20="listen",channel_av_listen,"")</f>
        <v/>
      </c>
      <c r="AC20" s="36" t="str">
        <f t="shared" si="12"/>
        <v/>
      </c>
      <c r="AD20" s="36" t="str">
        <f t="shared" si="13"/>
        <v/>
      </c>
      <c r="AE20" s="42" t="s">
        <v>103</v>
      </c>
      <c r="AF20" s="37" t="s">
        <v>118</v>
      </c>
      <c r="AG20" s="37"/>
      <c r="AH20" s="37" t="s">
        <v>119</v>
      </c>
      <c r="AI20" s="37"/>
      <c r="AJ20" s="114">
        <f>A20</f>
        <v>17</v>
      </c>
      <c r="AK20" s="56" t="str">
        <f>IF(AH20="","",TEXT(SUBSTITUTE(AJ20," ","_"),"000") &amp; "_" &amp; AH20)</f>
        <v>017_you_can_tell_me</v>
      </c>
      <c r="AL20" s="37"/>
      <c r="AM20" s="133"/>
      <c r="AN20" s="37"/>
      <c r="AO20" s="37"/>
      <c r="AP20" s="37"/>
      <c r="AQ20" s="37"/>
      <c r="AR20" s="37"/>
      <c r="AS20" s="37"/>
      <c r="AT20" s="37"/>
      <c r="AU20" s="37"/>
      <c r="AV20" s="37"/>
      <c r="AW20" s="37"/>
      <c r="AX20" s="37"/>
      <c r="AY20" s="37"/>
      <c r="AZ20" s="37"/>
      <c r="BA20" s="37"/>
      <c r="BB20" s="37"/>
      <c r="BC20" s="41"/>
      <c r="BD20" s="42"/>
      <c r="BE20" s="42"/>
      <c r="BF20" s="41"/>
      <c r="BG20" s="108"/>
      <c r="BH20" s="108"/>
      <c r="BI20" s="108"/>
      <c r="BJ20" s="110"/>
      <c r="BK20" s="41"/>
      <c r="BL20" s="42" t="s">
        <v>120</v>
      </c>
      <c r="BM20" s="35">
        <v>1</v>
      </c>
      <c r="BN20" s="35">
        <v>0</v>
      </c>
      <c r="BO20" s="35">
        <v>0</v>
      </c>
      <c r="BP20" s="35">
        <v>0</v>
      </c>
      <c r="BQ20" s="35">
        <v>0</v>
      </c>
      <c r="BR20" s="41"/>
      <c r="BS20" s="35" t="s">
        <v>115</v>
      </c>
      <c r="BT20" s="35" t="s">
        <v>116</v>
      </c>
      <c r="BU20" s="35">
        <v>0</v>
      </c>
      <c r="BV20" s="35">
        <v>0</v>
      </c>
      <c r="BW20" s="35">
        <v>0</v>
      </c>
      <c r="BX20" s="41"/>
      <c r="BY20" s="34" t="s">
        <v>117</v>
      </c>
      <c r="BZ20" s="43" t="s">
        <v>107</v>
      </c>
      <c r="CA20" s="43" t="s">
        <v>107</v>
      </c>
      <c r="CB20" s="158" t="str">
        <f t="shared" si="44"/>
        <v>{"azure":{"style":"Whispering","degree":1,"pause":0,"pitch":0,"rate":0,"volume":0},"emotion":{"sadness":0.3,"joy":0.2,"fear":0,"disgust":0,"anger":0},"sgcom":{"mood":"neutral","scale":0.5}}</v>
      </c>
      <c r="AOE20" s="28"/>
    </row>
    <row r="21" spans="1:86 1071:1071" s="27" customFormat="1">
      <c r="A21" s="32">
        <f t="shared" si="15"/>
        <v>18</v>
      </c>
      <c r="B21" s="32"/>
      <c r="C21" s="32" t="s">
        <v>109</v>
      </c>
      <c r="D21" s="32"/>
      <c r="E21" s="34" t="s">
        <v>110</v>
      </c>
      <c r="F21" s="34" t="str">
        <f t="shared" si="28"/>
        <v/>
      </c>
      <c r="G21" s="34" t="str">
        <f t="shared" si="0"/>
        <v>unmute</v>
      </c>
      <c r="H21" s="116" t="str">
        <f t="shared" si="1"/>
        <v>{"av-command": "stt-control", "data": {"listening": true}}</v>
      </c>
      <c r="I21" s="36" t="str">
        <f t="shared" si="2"/>
        <v/>
      </c>
      <c r="J21" s="36" t="str">
        <f t="shared" si="3"/>
        <v/>
      </c>
      <c r="K21" s="116" t="str">
        <f t="shared" si="27"/>
        <v/>
      </c>
      <c r="L21" s="36"/>
      <c r="M21" s="136" t="str">
        <f t="shared" si="45"/>
        <v>mute</v>
      </c>
      <c r="N21" s="116" t="str">
        <f t="shared" si="6"/>
        <v>{ "command": "mute", "entity": "Eliza", "data" : null}</v>
      </c>
      <c r="O21" s="129" t="str">
        <f t="shared" si="7"/>
        <v>{ "command": "mute", "entity": "Eliza", "data" : null}</v>
      </c>
      <c r="P21" s="81"/>
      <c r="Q21" s="37" t="str">
        <f t="shared" si="8"/>
        <v/>
      </c>
      <c r="R21" s="141"/>
      <c r="S21" s="148" t="str">
        <f t="shared" si="9"/>
        <v>user_spoke</v>
      </c>
      <c r="T21" s="137" t="str">
        <f t="shared" si="10"/>
        <v>{"words-in" : { "entity" : "user"} }</v>
      </c>
      <c r="U21" s="45"/>
      <c r="V21" s="35" t="str">
        <f>IF(OR(P21="",Y21=""),"",osc_exe_npmosc&amp;" --host "&amp;osc_ip&amp;":"&amp;osc_port_control&amp;" "&amp;Z21&amp; "  " &amp; j_qot &amp;X21 &amp; j_qot)</f>
        <v/>
      </c>
      <c r="W21" s="36" t="str">
        <f t="shared" si="30"/>
        <v/>
      </c>
      <c r="X21" s="36" t="str">
        <f t="shared" si="29"/>
        <v/>
      </c>
      <c r="Y21" s="34"/>
      <c r="Z21" s="36" t="str">
        <f t="shared" si="11"/>
        <v/>
      </c>
      <c r="AA21" s="36"/>
      <c r="AB21" s="36" t="str" cm="1">
        <f t="array" ref="AB21">IF(C21="observe",channel_av_observe,"") &amp; IF(C21="register",channel_av_register,"")  &amp; IF(C21="listen",channel_av_listen,"")</f>
        <v>/listen</v>
      </c>
      <c r="AC21" s="36" t="str">
        <f t="shared" si="12"/>
        <v/>
      </c>
      <c r="AD21" s="36" t="str">
        <f t="shared" si="13"/>
        <v/>
      </c>
      <c r="AE21" s="42"/>
      <c r="AF21" s="46" t="s">
        <v>121</v>
      </c>
      <c r="AG21" s="46"/>
      <c r="AH21" s="47"/>
      <c r="AI21" s="47"/>
      <c r="AJ21" s="47"/>
      <c r="AK21" s="56" t="str">
        <f t="shared" si="14"/>
        <v/>
      </c>
      <c r="AL21" s="47"/>
      <c r="AM21" s="133"/>
      <c r="AN21" s="47"/>
      <c r="AO21" s="47"/>
      <c r="AP21" s="47"/>
      <c r="AQ21" s="47"/>
      <c r="AR21" s="47"/>
      <c r="AS21" s="47"/>
      <c r="AT21" s="47"/>
      <c r="AU21" s="47"/>
      <c r="AV21" s="47"/>
      <c r="AW21" s="47"/>
      <c r="AX21" s="47"/>
      <c r="AY21" s="47"/>
      <c r="AZ21" s="47"/>
      <c r="BA21" s="47"/>
      <c r="BB21" s="47"/>
      <c r="BC21" s="48"/>
      <c r="BD21" s="42"/>
      <c r="BE21" s="35"/>
      <c r="BF21" s="48"/>
      <c r="BG21" s="108"/>
      <c r="BH21" s="108"/>
      <c r="BI21" s="108"/>
      <c r="BJ21" s="110"/>
      <c r="BK21" s="48"/>
      <c r="BL21" s="47"/>
      <c r="BM21" s="35"/>
      <c r="BN21" s="35"/>
      <c r="BO21" s="35"/>
      <c r="BP21" s="35"/>
      <c r="BQ21" s="35"/>
      <c r="BR21" s="48"/>
      <c r="BS21" s="35"/>
      <c r="BT21" s="35"/>
      <c r="BU21" s="35"/>
      <c r="BV21" s="35"/>
      <c r="BW21" s="35"/>
      <c r="BX21" s="48"/>
      <c r="BY21" s="34"/>
      <c r="BZ21" s="43"/>
      <c r="CA21" s="43"/>
      <c r="CB21" s="158" t="str">
        <f t="shared" si="44"/>
        <v/>
      </c>
      <c r="AOE21" s="28"/>
    </row>
    <row r="22" spans="1:86 1071:1071" s="27" customFormat="1">
      <c r="A22" s="32">
        <f t="shared" si="15"/>
        <v>19</v>
      </c>
      <c r="B22" s="32"/>
      <c r="C22" s="32" t="s">
        <v>122</v>
      </c>
      <c r="D22" s="32"/>
      <c r="E22" s="34" t="s">
        <v>123</v>
      </c>
      <c r="F22" s="34" t="str">
        <f t="shared" si="28"/>
        <v/>
      </c>
      <c r="G22" s="34" t="str">
        <f t="shared" si="0"/>
        <v>mute</v>
      </c>
      <c r="H22" s="116" t="str">
        <f t="shared" si="1"/>
        <v>{"av-command": "stt-control", "data": {"listening": false}}</v>
      </c>
      <c r="I22" s="36" t="str">
        <f t="shared" si="2"/>
        <v/>
      </c>
      <c r="J22" s="36" t="str">
        <f t="shared" si="3"/>
        <v/>
      </c>
      <c r="K22" s="116" t="str">
        <f t="shared" si="27"/>
        <v/>
      </c>
      <c r="L22" s="36"/>
      <c r="M22" s="136" t="str">
        <f t="shared" si="45"/>
        <v>unmute</v>
      </c>
      <c r="N22" s="116" t="str">
        <f t="shared" si="6"/>
        <v>{ "command": "unmute", "entity": "Eliza", "data" : {"prompt" : "%prompt" }}</v>
      </c>
      <c r="O22" s="129" t="str">
        <f t="shared" si="7"/>
        <v>{ "command": "unmute", "entity": "Eliza", "data" : {"prompt" : "Go Deeper" }}</v>
      </c>
      <c r="P22" s="81"/>
      <c r="Q22" s="37" t="str">
        <f t="shared" si="8"/>
        <v>{"id":"19","type":"meat","channel":"","state":"think"}</v>
      </c>
      <c r="R22" s="141"/>
      <c r="S22" s="148" t="str">
        <f t="shared" si="9"/>
        <v>mask_generated</v>
      </c>
      <c r="T22" s="137" t="str">
        <f t="shared" si="10"/>
        <v>{"words-out" : { "entity" : "Eliza"} }</v>
      </c>
      <c r="U22" s="45"/>
      <c r="V22" s="35" t="str">
        <f>IF(OR(P22="",Y22=""),"",osc_exe_npmosc&amp;" --host "&amp;osc_ip&amp;":"&amp;osc_port_control&amp;" "&amp;Z22&amp; "  " &amp; j_qot &amp;X22 &amp; j_qot)</f>
        <v/>
      </c>
      <c r="W22" s="36" t="str">
        <f t="shared" si="30"/>
        <v/>
      </c>
      <c r="X22" s="36" t="str">
        <f t="shared" si="29"/>
        <v/>
      </c>
      <c r="Y22" s="34"/>
      <c r="Z22" s="36" t="str">
        <f t="shared" si="11"/>
        <v/>
      </c>
      <c r="AA22" s="36"/>
      <c r="AB22" s="36" t="str" cm="1">
        <f t="array" ref="AB22">IF(C22="observe",channel_av_observe,"") &amp; IF(C22="register",channel_av_register,"")  &amp; IF(C22="listen",channel_av_listen,"")</f>
        <v/>
      </c>
      <c r="AC22" s="36" t="str">
        <f t="shared" si="12"/>
        <v/>
      </c>
      <c r="AD22" s="36" t="str">
        <f t="shared" si="13"/>
        <v>/generate</v>
      </c>
      <c r="AE22" s="42"/>
      <c r="AF22" s="49" t="s">
        <v>124</v>
      </c>
      <c r="AG22" s="49" t="s">
        <v>125</v>
      </c>
      <c r="AH22" s="49"/>
      <c r="AI22" s="49"/>
      <c r="AJ22" s="49"/>
      <c r="AK22" s="56" t="str">
        <f t="shared" si="14"/>
        <v/>
      </c>
      <c r="AL22" s="49"/>
      <c r="AM22" s="133"/>
      <c r="AN22" s="49"/>
      <c r="AO22" s="49"/>
      <c r="AP22" s="49"/>
      <c r="AQ22" s="49"/>
      <c r="AR22" s="49"/>
      <c r="AS22" s="49"/>
      <c r="AT22" s="49"/>
      <c r="AU22" s="49"/>
      <c r="AV22" s="49"/>
      <c r="AW22" s="49"/>
      <c r="AX22" s="49"/>
      <c r="AY22" s="49"/>
      <c r="AZ22" s="49"/>
      <c r="BA22" s="49"/>
      <c r="BB22" s="49"/>
      <c r="BC22" s="50"/>
      <c r="BD22" s="42"/>
      <c r="BE22" s="35"/>
      <c r="BF22" s="50"/>
      <c r="BG22" s="108"/>
      <c r="BH22" s="108"/>
      <c r="BI22" s="108"/>
      <c r="BJ22" s="110"/>
      <c r="BK22" s="50"/>
      <c r="BL22" s="49"/>
      <c r="BM22" s="35"/>
      <c r="BN22" s="35"/>
      <c r="BO22" s="35"/>
      <c r="BP22" s="35"/>
      <c r="BQ22" s="35"/>
      <c r="BR22" s="50"/>
      <c r="BS22" s="35"/>
      <c r="BT22" s="35"/>
      <c r="BU22" s="35"/>
      <c r="BV22" s="35"/>
      <c r="BW22" s="35"/>
      <c r="BX22" s="50"/>
      <c r="BY22" s="34"/>
      <c r="BZ22" s="43"/>
      <c r="CA22" s="43"/>
      <c r="CB22" s="158" t="str">
        <f t="shared" si="44"/>
        <v/>
      </c>
      <c r="AOE22" s="28"/>
    </row>
    <row r="23" spans="1:86 1071:1071" s="27" customFormat="1">
      <c r="A23" s="32">
        <f t="shared" si="15"/>
        <v>20</v>
      </c>
      <c r="B23" s="32"/>
      <c r="C23" s="32" t="s">
        <v>126</v>
      </c>
      <c r="D23" s="32"/>
      <c r="E23" s="34" t="s">
        <v>127</v>
      </c>
      <c r="F23" s="34" t="str">
        <f t="shared" si="28"/>
        <v/>
      </c>
      <c r="G23" s="34" t="str">
        <f t="shared" si="0"/>
        <v/>
      </c>
      <c r="H23" s="116" t="str">
        <f t="shared" si="1"/>
        <v/>
      </c>
      <c r="I23" s="36" t="str">
        <f t="shared" si="2"/>
        <v/>
      </c>
      <c r="J23" s="36" t="str">
        <f t="shared" si="3"/>
        <v/>
      </c>
      <c r="K23" s="116" t="str">
        <f t="shared" si="27"/>
        <v/>
      </c>
      <c r="L23" s="36"/>
      <c r="M23" s="136" t="str">
        <f t="shared" si="45"/>
        <v/>
      </c>
      <c r="N23" s="116" t="str">
        <f t="shared" si="6"/>
        <v/>
      </c>
      <c r="O23" s="129" t="str">
        <f t="shared" si="7"/>
        <v/>
      </c>
      <c r="P23" s="37" t="str">
        <f>IF(Y23&lt;&gt;"x","",j_opn&amp;"id"&amp;j_sep&amp;A23 &amp; j_nxt&amp;label_deepfake_name &amp; j_sep &amp; AH23 &amp; j_nxt&amp; "type" &amp; j_sep &amp; label_meat &amp; j_nxt&amp; "channel" &amp;j_sep&amp;Z23&amp;j_nxt&amp;label_role&amp;j_sep&amp;AE23&amp;j_nxt&amp;label_text&amp;j_sep&amp;AF23&amp;j_nxt&amp;label_gpt_emo&amp;j_sep&amp;BD23&amp;j_nxt&amp;label_gpt_tone&amp;j_sep&amp;BE23&amp;j_nxt&amp;label_animate&amp;j_sub_opn&amp;label_pre&amp;j_sep&amp;IF(do_anim=FALSE,"",BG23)&amp;j_nxt&amp;label_post&amp;j_sep&amp;IF(do_anim="","",BH23)&amp;j_nxt&amp;label_next_state&amp;j_sep&amp;BI23&amp;J_sub_cls&amp;label_azure&amp;j_sub_opn&amp;label_style&amp;j_sep&amp;BL23&amp;j_nxt&amp;label_degree&amp;J_sep_num&amp;BM23&amp;j_nxt_num&amp;label_pause&amp;J_sep_num&amp;BN23&amp;j_nxt_num&amp;label_pitch&amp;J_sep_num&amp;BO23&amp;j_nxt_num&amp;label_rate&amp;J_sep_num&amp;BP23&amp;j_nxt_num&amp;label_volume&amp;J_sep_num&amp;BQ23&amp;j_sub_cls_num&amp;label_emotion&amp;j_sub_opn&amp;label_sad&amp;J_sep_num&amp;BS23&amp;j_nxt_num&amp;label_joy&amp;J_sep_num&amp;BT23&amp;j_nxt_num&amp;label_fear&amp;J_sep_num&amp;BU23&amp;j_nxt_num&amp;label_disgust&amp;J_sep_num&amp;BV23&amp;j_nxt_num&amp;label_anger&amp;J_sep_num&amp;BW23&amp;j_sub_cls_num&amp;label_sg&amp;j_sub_opn&amp;label_mood&amp;j_sep&amp;BY23&amp;j_nxt&amp;label_scale&amp;J_sep_num&amp;BZ23&amp;j_end_num)</f>
        <v>{"id":"20","name":"inquiry 01","type":"meat","channel":"say","role":"mask","text":"What made it stressful for you?","gpt_emotion":"","gpt_tone":"","animate":{"pre":"","post":"","next_state":""},"azure":{"style":"Friendly","degree":0.8,"pause":0,"pitch":0,"rate":0,"volume":0},"emotion":{"sadness":-1,"joy":-1,"fear":-1,"disgust":-1,"anger":-1},"sgcom":{"mood":"","scale":-1}}</v>
      </c>
      <c r="Q23" s="37" t="str">
        <f t="shared" si="8"/>
        <v/>
      </c>
      <c r="R23" s="141"/>
      <c r="S23" s="148" t="str">
        <f t="shared" si="9"/>
        <v>mask_spoke</v>
      </c>
      <c r="T23" s="137" t="str">
        <f t="shared" si="10"/>
        <v>{"words-in" : { "entity" : "Eliza"} }</v>
      </c>
      <c r="U23" s="45"/>
      <c r="V23" s="35" t="str">
        <f>IF(OR(P23="",Y23=""),"",osc_exe_npmosc&amp;" --host "&amp;osc_ip&amp;":"&amp;osc_port_control&amp;" "&amp; osc_channel_meat_stub &amp; "  " &amp; j_qot &amp;X23 &amp; j_qot)</f>
        <v>/opt/homebrew/bin/osc --host 10.10.10.10:5918 /meat  "{#Qid#Q:#Q20#Q#C#Qname#Q:#Qinquiry#S01#Q#C#Qtype#Q:#Qmeat#Q#C#Qchannel#Q:#Qsay#Q#C#Qrole#Q:#Qmask#Q#C#Qtext#Q:#QWhat#Smade#Sit#Sstressful#Sfor#Syou?#Q#C#Qgpt_emotion#Q:#Q#Q#C#Qgpt_tone#Q:#Q#Q#C#Qanimate#Q:{#Qpre#Q:#Q#Q#C#Qpost#Q:#Q#Q#C#Qnext_state#Q:#Q#Q}#C#Qazure#Q:{#Qstyle#Q:#QFriendly#Q#C#Qdegree#Q:0.8#C#Qpause#Q:0#C#Qpitch#Q:0#C#Qrate#Q:0#C#Qvolume#Q:0}#C#Qemotion#Q:{#Qsadness#Q:-1#C#Qjoy#Q:-1#C#Qfear#Q:-1#C#Qdisgust#Q:-1#C#Qanger#Q:-1}#C#Qsgcom#Q:{#Qmood#Q:#Q#Q#C#Qscale#Q:-1}}"</v>
      </c>
      <c r="W23" s="36" t="str">
        <f t="shared" si="30"/>
        <v>/opt/homebrew/bin/sendosc 10.10.10.10 5918 say s {\"id\":\"20\",\"name\":\"inquiry\ 01\",\"type\":\"meat\",\"channel\":\"say\",\"role\":\"mask\",\"text\":\"What\ made\ it\ stressful\ for\ you\?\",\"gpt_emotion\":\"\",\"gpt_tone\":\"\",\"animate\":{\"pre\":\"\",\"post\":\"\",\"next_state\":\"\"\},\"azure\":{\"style\":\"Friendly\",\"degree\":0.8,\"pause\":0,\"pitch\":0,\"rate\":0,\"volume\":0\},\"emotion\":{\"sadness\":-1,\"joy\":-1,\"fear\":-1,\"disgust\":-1,\"anger\":-1\},\"sgcom\":{\"mood\":\"\",\"scale\":-1\}\}</v>
      </c>
      <c r="X23" s="36" t="str">
        <f t="shared" si="29"/>
        <v>{#Qid#Q:#Q20#Q#C#Qname#Q:#Qinquiry#S01#Q#C#Qtype#Q:#Qmeat#Q#C#Qchannel#Q:#Qsay#Q#C#Qrole#Q:#Qmask#Q#C#Qtext#Q:#QWhat#Smade#Sit#Sstressful#Sfor#Syou?#Q#C#Qgpt_emotion#Q:#Q#Q#C#Qgpt_tone#Q:#Q#Q#C#Qanimate#Q:{#Qpre#Q:#Q#Q#C#Qpost#Q:#Q#Q#C#Qnext_state#Q:#Q#Q}#C#Qazure#Q:{#Qstyle#Q:#QFriendly#Q#C#Qdegree#Q:0.8#C#Qpause#Q:0#C#Qpitch#Q:0#C#Qrate#Q:0#C#Qvolume#Q:0}#C#Qemotion#Q:{#Qsadness#Q:-1#C#Qjoy#Q:-1#C#Qfear#Q:-1#C#Qdisgust#Q:-1#C#Qanger#Q:-1}#C#Qsgcom#Q:{#Qmood#Q:#Q#Q#C#Qscale#Q:-1}}</v>
      </c>
      <c r="Y23" s="40" t="s">
        <v>102</v>
      </c>
      <c r="Z23" s="36" t="str">
        <f t="shared" si="11"/>
        <v>say</v>
      </c>
      <c r="AA23" s="36"/>
      <c r="AB23" s="36" t="str" cm="1">
        <f t="array" ref="AB23">IF(C23="observe",channel_av_observe,"") &amp; IF(C23="register",channel_av_register,"")  &amp; IF(C23="listen",channel_av_listen,"")</f>
        <v/>
      </c>
      <c r="AC23" s="36" t="str">
        <f t="shared" si="12"/>
        <v/>
      </c>
      <c r="AD23" s="36" t="str">
        <f t="shared" si="13"/>
        <v/>
      </c>
      <c r="AE23" s="42" t="s">
        <v>103</v>
      </c>
      <c r="AF23" s="51" t="s">
        <v>128</v>
      </c>
      <c r="AG23" s="51"/>
      <c r="AH23" s="49" t="s">
        <v>129</v>
      </c>
      <c r="AI23" s="49"/>
      <c r="AJ23" s="114">
        <f>A23</f>
        <v>20</v>
      </c>
      <c r="AK23" s="56" t="str">
        <f>IF(AH23="","",TEXT(SUBSTITUTE(AJ23," ","_"),"000") &amp; "_" &amp; AH23)</f>
        <v>020_inquiry 01</v>
      </c>
      <c r="AL23" s="49"/>
      <c r="AM23" s="133"/>
      <c r="AN23" s="49"/>
      <c r="AO23" s="49"/>
      <c r="AP23" s="49"/>
      <c r="AQ23" s="49"/>
      <c r="AR23" s="49"/>
      <c r="AS23" s="49"/>
      <c r="AT23" s="49"/>
      <c r="AU23" s="49"/>
      <c r="AV23" s="49"/>
      <c r="AW23" s="49"/>
      <c r="AX23" s="49"/>
      <c r="AY23" s="49"/>
      <c r="AZ23" s="49"/>
      <c r="BA23" s="49"/>
      <c r="BB23" s="49"/>
      <c r="BC23" s="50"/>
      <c r="BD23" s="42"/>
      <c r="BE23" s="42"/>
      <c r="BF23" s="50"/>
      <c r="BG23" s="108"/>
      <c r="BH23" s="108"/>
      <c r="BI23" s="108"/>
      <c r="BJ23" s="110"/>
      <c r="BK23" s="50"/>
      <c r="BL23" s="42" t="s">
        <v>130</v>
      </c>
      <c r="BM23" s="35" t="s">
        <v>131</v>
      </c>
      <c r="BN23" s="35">
        <v>0</v>
      </c>
      <c r="BO23" s="35">
        <v>0</v>
      </c>
      <c r="BP23" s="35">
        <v>0</v>
      </c>
      <c r="BQ23" s="35">
        <v>0</v>
      </c>
      <c r="BR23" s="50"/>
      <c r="BS23" s="35">
        <v>-1</v>
      </c>
      <c r="BT23" s="35">
        <v>-1</v>
      </c>
      <c r="BU23" s="35">
        <v>-1</v>
      </c>
      <c r="BV23" s="35">
        <v>-1</v>
      </c>
      <c r="BW23" s="35">
        <v>-1</v>
      </c>
      <c r="BX23" s="50"/>
      <c r="BY23" s="34"/>
      <c r="BZ23" s="43">
        <v>-1</v>
      </c>
      <c r="CA23" s="43">
        <v>-1</v>
      </c>
      <c r="CB23" s="158" t="str">
        <f t="shared" si="44"/>
        <v>{"azure":{"style":"Friendly","degree":0.8,"pause":0,"pitch":0,"rate":0,"volume":0},"emotion":{"sadness":-1,"joy":-1,"fear":-1,"disgust":-1,"anger":-1},"sgcom":{"mood":"","scale":-1}}</v>
      </c>
      <c r="AOE23" s="28"/>
    </row>
    <row r="24" spans="1:86 1071:1071" s="27" customFormat="1">
      <c r="A24" s="32">
        <f t="shared" si="15"/>
        <v>21</v>
      </c>
      <c r="B24" s="32"/>
      <c r="C24" s="32" t="s">
        <v>109</v>
      </c>
      <c r="D24" s="32"/>
      <c r="E24" s="34" t="s">
        <v>110</v>
      </c>
      <c r="F24" s="34" t="str">
        <f t="shared" si="28"/>
        <v/>
      </c>
      <c r="G24" s="34" t="str">
        <f t="shared" si="0"/>
        <v>unmute</v>
      </c>
      <c r="H24" s="116" t="str">
        <f t="shared" si="1"/>
        <v>{"av-command": "stt-control", "data": {"listening": true}}</v>
      </c>
      <c r="I24" s="36" t="str">
        <f t="shared" si="2"/>
        <v/>
      </c>
      <c r="J24" s="36" t="str">
        <f t="shared" si="3"/>
        <v/>
      </c>
      <c r="K24" s="116" t="str">
        <f t="shared" si="27"/>
        <v/>
      </c>
      <c r="L24" s="36"/>
      <c r="M24" s="136" t="str">
        <f t="shared" si="45"/>
        <v>mute</v>
      </c>
      <c r="N24" s="116" t="str">
        <f t="shared" si="6"/>
        <v>{ "command": "mute", "entity": "Eliza", "data" : null}</v>
      </c>
      <c r="O24" s="129" t="str">
        <f t="shared" si="7"/>
        <v>{ "command": "mute", "entity": "Eliza", "data" : null}</v>
      </c>
      <c r="P24" s="81"/>
      <c r="Q24" s="37" t="str">
        <f t="shared" si="8"/>
        <v/>
      </c>
      <c r="R24" s="141"/>
      <c r="S24" s="148" t="str">
        <f t="shared" si="9"/>
        <v>user_spoke</v>
      </c>
      <c r="T24" s="137" t="str">
        <f t="shared" si="10"/>
        <v>{"words-in" : { "entity" : "user"} }</v>
      </c>
      <c r="U24" s="45"/>
      <c r="V24" s="35" t="str">
        <f>IF(OR(P24="",Y24=""),"",osc_exe_npmosc&amp;" --host "&amp;osc_ip&amp;":"&amp;osc_port_control&amp;" "&amp;Z24&amp; "  " &amp; j_qot &amp;X24 &amp; j_qot)</f>
        <v/>
      </c>
      <c r="W24" s="36" t="str">
        <f t="shared" si="30"/>
        <v/>
      </c>
      <c r="X24" s="36" t="str">
        <f t="shared" si="29"/>
        <v/>
      </c>
      <c r="Y24" s="34"/>
      <c r="Z24" s="36" t="str">
        <f t="shared" si="11"/>
        <v/>
      </c>
      <c r="AA24" s="36"/>
      <c r="AB24" s="36" t="str" cm="1">
        <f t="array" ref="AB24">IF(C24="observe",channel_av_observe,"") &amp; IF(C24="register",channel_av_register,"")  &amp; IF(C24="listen",channel_av_listen,"")</f>
        <v>/listen</v>
      </c>
      <c r="AC24" s="36" t="str">
        <f t="shared" si="12"/>
        <v/>
      </c>
      <c r="AD24" s="36" t="str">
        <f t="shared" si="13"/>
        <v/>
      </c>
      <c r="AE24" s="42"/>
      <c r="AF24" s="52" t="s">
        <v>132</v>
      </c>
      <c r="AG24" s="52"/>
      <c r="AH24" s="53"/>
      <c r="AI24" s="53"/>
      <c r="AJ24" s="53"/>
      <c r="AK24" s="56" t="str">
        <f t="shared" si="14"/>
        <v/>
      </c>
      <c r="AL24" s="53"/>
      <c r="AM24" s="133"/>
      <c r="AN24" s="53"/>
      <c r="AO24" s="53"/>
      <c r="AP24" s="53"/>
      <c r="AQ24" s="53"/>
      <c r="AR24" s="53"/>
      <c r="AS24" s="53"/>
      <c r="AT24" s="53"/>
      <c r="AU24" s="53"/>
      <c r="AV24" s="53"/>
      <c r="AW24" s="53"/>
      <c r="AX24" s="53"/>
      <c r="AY24" s="53"/>
      <c r="AZ24" s="53"/>
      <c r="BA24" s="53"/>
      <c r="BB24" s="53"/>
      <c r="BC24" s="54"/>
      <c r="BD24" s="42"/>
      <c r="BE24" s="35"/>
      <c r="BF24" s="54"/>
      <c r="BG24" s="108"/>
      <c r="BH24" s="108"/>
      <c r="BI24" s="108"/>
      <c r="BJ24" s="110"/>
      <c r="BK24" s="54"/>
      <c r="BL24" s="53"/>
      <c r="BM24" s="35"/>
      <c r="BN24" s="35"/>
      <c r="BO24" s="35"/>
      <c r="BP24" s="35"/>
      <c r="BQ24" s="35"/>
      <c r="BR24" s="54"/>
      <c r="BS24" s="35"/>
      <c r="BT24" s="35"/>
      <c r="BU24" s="35"/>
      <c r="BV24" s="35"/>
      <c r="BW24" s="35"/>
      <c r="BX24" s="54"/>
      <c r="BY24" s="34"/>
      <c r="BZ24" s="43"/>
      <c r="CA24" s="43"/>
      <c r="CB24" s="158" t="str">
        <f t="shared" si="44"/>
        <v/>
      </c>
      <c r="AOE24" s="28"/>
    </row>
    <row r="25" spans="1:86 1071:1071" s="27" customFormat="1">
      <c r="A25" s="32">
        <f t="shared" si="15"/>
        <v>22</v>
      </c>
      <c r="B25" s="32"/>
      <c r="C25" s="32" t="s">
        <v>122</v>
      </c>
      <c r="D25" s="32"/>
      <c r="E25" s="34" t="s">
        <v>123</v>
      </c>
      <c r="F25" s="34" t="str">
        <f t="shared" si="28"/>
        <v/>
      </c>
      <c r="G25" s="34" t="str">
        <f t="shared" si="0"/>
        <v>mute</v>
      </c>
      <c r="H25" s="116" t="str">
        <f t="shared" si="1"/>
        <v>{"av-command": "stt-control", "data": {"listening": false}}</v>
      </c>
      <c r="I25" s="36" t="str">
        <f t="shared" si="2"/>
        <v/>
      </c>
      <c r="J25" s="36" t="str">
        <f t="shared" si="3"/>
        <v/>
      </c>
      <c r="K25" s="116" t="str">
        <f t="shared" si="27"/>
        <v/>
      </c>
      <c r="L25" s="36"/>
      <c r="M25" s="136" t="str">
        <f t="shared" si="45"/>
        <v>unmute</v>
      </c>
      <c r="N25" s="116" t="str">
        <f t="shared" si="6"/>
        <v>{ "command": "unmute", "entity": "Eliza", "data" : {"prompt" : "%prompt" }}</v>
      </c>
      <c r="O25" s="129" t="str">
        <f t="shared" si="7"/>
        <v>{ "command": "unmute", "entity": "Eliza", "data" : {"prompt" : "Go Deeper" }}</v>
      </c>
      <c r="P25" s="81"/>
      <c r="Q25" s="37" t="str">
        <f t="shared" si="8"/>
        <v>{"id":"22","type":"meat","channel":"","state":"think"}</v>
      </c>
      <c r="R25" s="141"/>
      <c r="S25" s="148" t="str">
        <f t="shared" si="9"/>
        <v>mask_generated</v>
      </c>
      <c r="T25" s="137" t="str">
        <f t="shared" si="10"/>
        <v>{"words-out" : { "entity" : "Eliza"} }</v>
      </c>
      <c r="U25" s="45"/>
      <c r="V25" s="35" t="str">
        <f>IF(OR(P25="",Y25=""),"",osc_exe_npmosc&amp;" --host "&amp;osc_ip&amp;":"&amp;osc_port_control&amp;" "&amp;Z25&amp; "  " &amp; j_qot &amp;X25 &amp; j_qot)</f>
        <v/>
      </c>
      <c r="W25" s="36" t="str">
        <f t="shared" si="30"/>
        <v/>
      </c>
      <c r="X25" s="36" t="str">
        <f t="shared" si="29"/>
        <v/>
      </c>
      <c r="Y25" s="34"/>
      <c r="Z25" s="36" t="str">
        <f t="shared" si="11"/>
        <v/>
      </c>
      <c r="AA25" s="36"/>
      <c r="AB25" s="36" t="str" cm="1">
        <f t="array" ref="AB25">IF(C25="observe",channel_av_observe,"") &amp; IF(C25="register",channel_av_register,"")  &amp; IF(C25="listen",channel_av_listen,"")</f>
        <v/>
      </c>
      <c r="AC25" s="36" t="str">
        <f t="shared" si="12"/>
        <v/>
      </c>
      <c r="AD25" s="36" t="str">
        <f t="shared" si="13"/>
        <v>/generate</v>
      </c>
      <c r="AE25" s="42"/>
      <c r="AF25" s="49" t="s">
        <v>124</v>
      </c>
      <c r="AG25" s="49" t="s">
        <v>125</v>
      </c>
      <c r="AH25" s="49"/>
      <c r="AI25" s="49"/>
      <c r="AJ25" s="49"/>
      <c r="AK25" s="56" t="str">
        <f t="shared" si="14"/>
        <v/>
      </c>
      <c r="AL25" s="49"/>
      <c r="AM25" s="133"/>
      <c r="AN25" s="49"/>
      <c r="AO25" s="49"/>
      <c r="AP25" s="49"/>
      <c r="AQ25" s="49"/>
      <c r="AR25" s="49"/>
      <c r="AS25" s="49"/>
      <c r="AT25" s="49"/>
      <c r="AU25" s="49"/>
      <c r="AV25" s="49"/>
      <c r="AW25" s="49"/>
      <c r="AX25" s="49"/>
      <c r="AY25" s="49"/>
      <c r="AZ25" s="49"/>
      <c r="BA25" s="49"/>
      <c r="BB25" s="49"/>
      <c r="BC25" s="50"/>
      <c r="BD25" s="42"/>
      <c r="BE25" s="35"/>
      <c r="BF25" s="50"/>
      <c r="BG25" s="108"/>
      <c r="BH25" s="108"/>
      <c r="BI25" s="108"/>
      <c r="BJ25" s="110"/>
      <c r="BK25" s="50"/>
      <c r="BL25" s="49"/>
      <c r="BM25" s="35"/>
      <c r="BN25" s="35"/>
      <c r="BO25" s="35"/>
      <c r="BP25" s="35"/>
      <c r="BQ25" s="35"/>
      <c r="BR25" s="50"/>
      <c r="BS25" s="35"/>
      <c r="BT25" s="35"/>
      <c r="BU25" s="35"/>
      <c r="BV25" s="35"/>
      <c r="BW25" s="35"/>
      <c r="BX25" s="50"/>
      <c r="BY25" s="34"/>
      <c r="BZ25" s="43"/>
      <c r="CA25" s="43"/>
      <c r="CB25" s="158" t="str">
        <f t="shared" si="44"/>
        <v/>
      </c>
      <c r="AOE25" s="28"/>
    </row>
    <row r="26" spans="1:86 1071:1071" s="27" customFormat="1">
      <c r="A26" s="32">
        <f t="shared" si="15"/>
        <v>23</v>
      </c>
      <c r="B26" s="32"/>
      <c r="C26" s="32" t="s">
        <v>126</v>
      </c>
      <c r="D26" s="32"/>
      <c r="E26" s="34" t="s">
        <v>127</v>
      </c>
      <c r="F26" s="34" t="str">
        <f t="shared" si="28"/>
        <v/>
      </c>
      <c r="G26" s="34" t="str">
        <f t="shared" si="0"/>
        <v/>
      </c>
      <c r="H26" s="116" t="str">
        <f t="shared" si="1"/>
        <v/>
      </c>
      <c r="I26" s="36" t="str">
        <f t="shared" si="2"/>
        <v/>
      </c>
      <c r="J26" s="36" t="str">
        <f t="shared" si="3"/>
        <v/>
      </c>
      <c r="K26" s="116" t="str">
        <f t="shared" si="27"/>
        <v/>
      </c>
      <c r="L26" s="36"/>
      <c r="M26" s="136" t="str">
        <f t="shared" si="45"/>
        <v/>
      </c>
      <c r="N26" s="116" t="str">
        <f t="shared" si="6"/>
        <v/>
      </c>
      <c r="O26" s="129" t="str">
        <f t="shared" si="7"/>
        <v/>
      </c>
      <c r="P26" s="37" t="str">
        <f>IF(Y26&lt;&gt;"x","",j_opn&amp;"id"&amp;j_sep&amp;A26 &amp; j_nxt&amp;label_deepfake_name &amp; j_sep &amp; AH26 &amp; j_nxt&amp; "type" &amp; j_sep &amp; label_meat &amp; j_nxt&amp; "channel" &amp;j_sep&amp;Z26&amp;j_nxt&amp;label_role&amp;j_sep&amp;AE26&amp;j_nxt&amp;label_text&amp;j_sep&amp;AF26&amp;j_nxt&amp;label_gpt_emo&amp;j_sep&amp;BD26&amp;j_nxt&amp;label_gpt_tone&amp;j_sep&amp;BE26&amp;j_nxt&amp;label_animate&amp;j_sub_opn&amp;label_pre&amp;j_sep&amp;IF(do_anim=FALSE,"",BG26)&amp;j_nxt&amp;label_post&amp;j_sep&amp;IF(do_anim="","",BH26)&amp;j_nxt&amp;label_next_state&amp;j_sep&amp;BI26&amp;J_sub_cls&amp;label_azure&amp;j_sub_opn&amp;label_style&amp;j_sep&amp;BL26&amp;j_nxt&amp;label_degree&amp;J_sep_num&amp;BM26&amp;j_nxt_num&amp;label_pause&amp;J_sep_num&amp;BN26&amp;j_nxt_num&amp;label_pitch&amp;J_sep_num&amp;BO26&amp;j_nxt_num&amp;label_rate&amp;J_sep_num&amp;BP26&amp;j_nxt_num&amp;label_volume&amp;J_sep_num&amp;BQ26&amp;j_sub_cls_num&amp;label_emotion&amp;j_sub_opn&amp;label_sad&amp;J_sep_num&amp;BS26&amp;j_nxt_num&amp;label_joy&amp;J_sep_num&amp;BT26&amp;j_nxt_num&amp;label_fear&amp;J_sep_num&amp;BU26&amp;j_nxt_num&amp;label_disgust&amp;J_sep_num&amp;BV26&amp;j_nxt_num&amp;label_anger&amp;J_sep_num&amp;BW26&amp;j_sub_cls_num&amp;label_sg&amp;j_sub_opn&amp;label_mood&amp;j_sep&amp;BY26&amp;j_nxt&amp;label_scale&amp;J_sep_num&amp;BZ26&amp;j_end_num)</f>
        <v>{"id":"23","name":"inquiry 02","type":"meat","channel":"say","role":"mask","text":"You should stand up for yourself and demand better treatment!","gpt_emotion":"","gpt_tone":"","animate":{"pre":"","post":"","next_state":""},"azure":{"style":"","degree":0,"pause":0,"pitch":0,"rate":0,"volume":0},"emotion":{"sadness":-1,"joy":-1,"fear":-1,"disgust":-1,"anger":-1},"sgcom":{"mood":"","scale":-1}}</v>
      </c>
      <c r="Q26" s="37" t="str">
        <f t="shared" si="8"/>
        <v/>
      </c>
      <c r="R26" s="141"/>
      <c r="S26" s="148" t="str">
        <f t="shared" si="9"/>
        <v>mask_spoke</v>
      </c>
      <c r="T26" s="137" t="str">
        <f t="shared" si="10"/>
        <v>{"words-in" : { "entity" : "Eliza"} }</v>
      </c>
      <c r="U26" s="45"/>
      <c r="V26" s="35" t="str">
        <f>IF(OR(P26="",Y26=""),"",osc_exe_npmosc&amp;" --host "&amp;osc_ip&amp;":"&amp;osc_port_control&amp;" "&amp; osc_channel_meat_stub &amp; "  " &amp; j_qot &amp;X26 &amp; j_qot)</f>
        <v>/opt/homebrew/bin/osc --host 10.10.10.10:5918 /meat  "{#Qid#Q:#Q23#Q#C#Qname#Q:#Qinquiry#S02#Q#C#Qtype#Q:#Qmeat#Q#C#Qchannel#Q:#Qsay#Q#C#Qrole#Q:#Qmask#Q#C#Qtext#Q:#QYou#Sshould#Sstand#Sup#Sfor#Syourself#Sand#Sdemand#Sbetter#Streatment!#Q#C#Qgpt_emotion#Q:#Q#Q#C#Qgpt_tone#Q:#Q#Q#C#Qanimate#Q:{#Qpre#Q:#Q#Q#C#Qpost#Q:#Q#Q#C#Qnext_state#Q:#Q#Q}#C#Qazure#Q:{#Qstyle#Q:#Q#Q#C#Qdegree#Q:0#C#Qpause#Q:0#C#Qpitch#Q:0#C#Qrate#Q:0#C#Qvolume#Q:0}#C#Qemotion#Q:{#Qsadness#Q:-1#C#Qjoy#Q:-1#C#Qfear#Q:-1#C#Qdisgust#Q:-1#C#Qanger#Q:-1}#C#Qsgcom#Q:{#Qmood#Q:#Q#Q#C#Qscale#Q:-1}}"</v>
      </c>
      <c r="W26" s="36" t="str">
        <f t="shared" si="30"/>
        <v>/opt/homebrew/bin/sendosc 10.10.10.10 5918 say s {\"id\":\"23\",\"name\":\"inquiry\ 02\",\"type\":\"meat\",\"channel\":\"say\",\"role\":\"mask\",\"text\":\"You\ should\ stand\ up\ for\ yourself\ and\ demand\ better\ treatment!\",\"gpt_emotion\":\"\",\"gpt_tone\":\"\",\"animate\":{\"pre\":\"\",\"post\":\"\",\"next_state\":\"\"\},\"azure\":{\"style\":\"\",\"degree\":0,\"pause\":0,\"pitch\":0,\"rate\":0,\"volume\":0\},\"emotion\":{\"sadness\":-1,\"joy\":-1,\"fear\":-1,\"disgust\":-1,\"anger\":-1\},\"sgcom\":{\"mood\":\"\",\"scale\":-1\}\}</v>
      </c>
      <c r="X26" s="36" t="str">
        <f t="shared" si="29"/>
        <v>{#Qid#Q:#Q23#Q#C#Qname#Q:#Qinquiry#S02#Q#C#Qtype#Q:#Qmeat#Q#C#Qchannel#Q:#Qsay#Q#C#Qrole#Q:#Qmask#Q#C#Qtext#Q:#QYou#Sshould#Sstand#Sup#Sfor#Syourself#Sand#Sdemand#Sbetter#Streatment!#Q#C#Qgpt_emotion#Q:#Q#Q#C#Qgpt_tone#Q:#Q#Q#C#Qanimate#Q:{#Qpre#Q:#Q#Q#C#Qpost#Q:#Q#Q#C#Qnext_state#Q:#Q#Q}#C#Qazure#Q:{#Qstyle#Q:#Q#Q#C#Qdegree#Q:0#C#Qpause#Q:0#C#Qpitch#Q:0#C#Qrate#Q:0#C#Qvolume#Q:0}#C#Qemotion#Q:{#Qsadness#Q:-1#C#Qjoy#Q:-1#C#Qfear#Q:-1#C#Qdisgust#Q:-1#C#Qanger#Q:-1}#C#Qsgcom#Q:{#Qmood#Q:#Q#Q#C#Qscale#Q:-1}}</v>
      </c>
      <c r="Y26" s="40" t="s">
        <v>102</v>
      </c>
      <c r="Z26" s="36" t="str">
        <f t="shared" si="11"/>
        <v>say</v>
      </c>
      <c r="AA26" s="36"/>
      <c r="AB26" s="36" t="str" cm="1">
        <f t="array" ref="AB26">IF(C26="observe",channel_av_observe,"") &amp; IF(C26="register",channel_av_register,"")  &amp; IF(C26="listen",channel_av_listen,"")</f>
        <v/>
      </c>
      <c r="AC26" s="36" t="str">
        <f t="shared" si="12"/>
        <v/>
      </c>
      <c r="AD26" s="36" t="str">
        <f t="shared" si="13"/>
        <v/>
      </c>
      <c r="AE26" s="42" t="s">
        <v>103</v>
      </c>
      <c r="AF26" s="51" t="s">
        <v>133</v>
      </c>
      <c r="AG26" s="51"/>
      <c r="AH26" s="49" t="s">
        <v>134</v>
      </c>
      <c r="AI26" s="49"/>
      <c r="AJ26" s="114">
        <f>A26</f>
        <v>23</v>
      </c>
      <c r="AK26" s="56" t="str">
        <f>IF(AH26="","",TEXT(SUBSTITUTE(AJ26," ","_"),"000") &amp; "_" &amp; AH26)</f>
        <v>023_inquiry 02</v>
      </c>
      <c r="AL26" s="49"/>
      <c r="AM26" s="133"/>
      <c r="AN26" s="49"/>
      <c r="AO26" s="49"/>
      <c r="AP26" s="49"/>
      <c r="AQ26" s="49"/>
      <c r="AR26" s="49"/>
      <c r="AS26" s="49"/>
      <c r="AT26" s="49"/>
      <c r="AU26" s="49"/>
      <c r="AV26" s="49"/>
      <c r="AW26" s="49"/>
      <c r="AX26" s="49"/>
      <c r="AY26" s="49"/>
      <c r="AZ26" s="49"/>
      <c r="BA26" s="49"/>
      <c r="BB26" s="49"/>
      <c r="BC26" s="50"/>
      <c r="BD26" s="42"/>
      <c r="BE26" s="42"/>
      <c r="BF26" s="50"/>
      <c r="BG26" s="108"/>
      <c r="BH26" s="108"/>
      <c r="BI26" s="108"/>
      <c r="BJ26" s="110"/>
      <c r="BK26" s="50"/>
      <c r="BL26" s="42"/>
      <c r="BM26" s="35">
        <v>0</v>
      </c>
      <c r="BN26" s="35">
        <v>0</v>
      </c>
      <c r="BO26" s="35">
        <v>0</v>
      </c>
      <c r="BP26" s="35">
        <v>0</v>
      </c>
      <c r="BQ26" s="35">
        <v>0</v>
      </c>
      <c r="BR26" s="50"/>
      <c r="BS26" s="35">
        <v>-1</v>
      </c>
      <c r="BT26" s="35">
        <v>-1</v>
      </c>
      <c r="BU26" s="35">
        <v>-1</v>
      </c>
      <c r="BV26" s="35">
        <v>-1</v>
      </c>
      <c r="BW26" s="35">
        <v>-1</v>
      </c>
      <c r="BX26" s="50"/>
      <c r="BY26" s="34"/>
      <c r="BZ26" s="43">
        <v>-1</v>
      </c>
      <c r="CA26" s="43">
        <v>-1</v>
      </c>
      <c r="CB26" s="158" t="str">
        <f t="shared" si="44"/>
        <v>{"azure":{"style":"","degree":0,"pause":0,"pitch":0,"rate":0,"volume":0},"emotion":{"sadness":-1,"joy":-1,"fear":-1,"disgust":-1,"anger":-1},"sgcom":{"mood":"","scale":-1}}</v>
      </c>
      <c r="AOE26" s="28"/>
    </row>
    <row r="27" spans="1:86 1071:1071" s="27" customFormat="1">
      <c r="A27" s="32">
        <f t="shared" si="15"/>
        <v>24</v>
      </c>
      <c r="B27" s="32"/>
      <c r="C27" s="32" t="s">
        <v>78</v>
      </c>
      <c r="D27" s="32"/>
      <c r="E27" s="34" t="s">
        <v>135</v>
      </c>
      <c r="F27" s="34"/>
      <c r="G27" s="34" t="str">
        <f t="shared" si="0"/>
        <v/>
      </c>
      <c r="H27" s="116" t="str">
        <f t="shared" si="1"/>
        <v/>
      </c>
      <c r="I27" s="36" t="str">
        <f t="shared" si="2"/>
        <v/>
      </c>
      <c r="J27" s="36" t="str">
        <f t="shared" si="3"/>
        <v/>
      </c>
      <c r="K27" s="116" t="str">
        <f t="shared" si="27"/>
        <v/>
      </c>
      <c r="L27" s="36"/>
      <c r="M27" s="136" t="str">
        <f t="shared" si="45"/>
        <v/>
      </c>
      <c r="N27" s="116" t="str">
        <f t="shared" si="6"/>
        <v/>
      </c>
      <c r="O27" s="129" t="str">
        <f t="shared" si="7"/>
        <v/>
      </c>
      <c r="P27" s="81"/>
      <c r="Q27" s="37" t="str">
        <f t="shared" si="8"/>
        <v/>
      </c>
      <c r="R27" s="141"/>
      <c r="S27" s="148" t="str">
        <f t="shared" si="9"/>
        <v/>
      </c>
      <c r="T27" s="137" t="str">
        <f t="shared" si="10"/>
        <v/>
      </c>
      <c r="U27" s="45"/>
      <c r="V27" s="35" t="str">
        <f>IF(OR(P27="",Y27=""),"",osc_exe_npmosc&amp;" --host "&amp;osc_ip&amp;":"&amp;osc_port_control&amp;" "&amp;Z27&amp; "  " &amp; j_qot &amp;X27 &amp; j_qot)</f>
        <v/>
      </c>
      <c r="W27" s="36" t="str">
        <f t="shared" si="30"/>
        <v/>
      </c>
      <c r="X27" s="36" t="str">
        <f t="shared" si="29"/>
        <v/>
      </c>
      <c r="Y27" s="34"/>
      <c r="Z27" s="36" t="str">
        <f t="shared" si="11"/>
        <v/>
      </c>
      <c r="AA27" s="36"/>
      <c r="AB27" s="36" t="str" cm="1">
        <f t="array" ref="AB27">IF(C27="observe",channel_av_observe,"") &amp; IF(C27="register",channel_av_register,"")  &amp; IF(C27="listen",channel_av_listen,"")</f>
        <v/>
      </c>
      <c r="AC27" s="36" t="str">
        <f t="shared" si="12"/>
        <v/>
      </c>
      <c r="AD27" s="36" t="str">
        <f t="shared" si="13"/>
        <v/>
      </c>
      <c r="AE27" s="42"/>
      <c r="AF27" s="35"/>
      <c r="AG27" s="35"/>
      <c r="AH27" s="35"/>
      <c r="AI27" s="35"/>
      <c r="AJ27" s="35"/>
      <c r="AK27" s="56" t="str">
        <f t="shared" si="14"/>
        <v/>
      </c>
      <c r="AL27" s="35"/>
      <c r="AM27" s="133"/>
      <c r="AN27" s="35"/>
      <c r="AO27" s="35"/>
      <c r="AP27" s="35"/>
      <c r="AQ27" s="35"/>
      <c r="AR27" s="35"/>
      <c r="AS27" s="35"/>
      <c r="AT27" s="35"/>
      <c r="AU27" s="35"/>
      <c r="AV27" s="35"/>
      <c r="AW27" s="35"/>
      <c r="AX27" s="35"/>
      <c r="AY27" s="35"/>
      <c r="AZ27" s="35"/>
      <c r="BA27" s="35"/>
      <c r="BB27" s="35"/>
      <c r="BC27" s="44"/>
      <c r="BD27" s="42"/>
      <c r="BE27" s="35"/>
      <c r="BF27" s="44"/>
      <c r="BG27" s="108"/>
      <c r="BH27" s="108"/>
      <c r="BI27" s="108"/>
      <c r="BJ27" s="110"/>
      <c r="BK27" s="44"/>
      <c r="BL27" s="35"/>
      <c r="BM27" s="35"/>
      <c r="BN27" s="35"/>
      <c r="BO27" s="35"/>
      <c r="BP27" s="35"/>
      <c r="BQ27" s="35"/>
      <c r="BR27" s="44"/>
      <c r="BS27" s="35"/>
      <c r="BT27" s="35"/>
      <c r="BU27" s="35"/>
      <c r="BV27" s="35"/>
      <c r="BW27" s="35"/>
      <c r="BX27" s="44"/>
      <c r="BY27" s="34"/>
      <c r="BZ27" s="43"/>
      <c r="CA27" s="43"/>
      <c r="CB27" s="158" t="str">
        <f t="shared" si="44"/>
        <v/>
      </c>
      <c r="AOE27" s="28"/>
    </row>
    <row r="28" spans="1:86 1071:1071" s="27" customFormat="1">
      <c r="A28" s="32">
        <f>A27+1</f>
        <v>25</v>
      </c>
      <c r="B28" s="32"/>
      <c r="C28" s="32" t="s">
        <v>109</v>
      </c>
      <c r="D28" s="32"/>
      <c r="E28" s="34" t="s">
        <v>110</v>
      </c>
      <c r="F28" s="34"/>
      <c r="G28" s="34" t="str">
        <f t="shared" si="0"/>
        <v>unmute</v>
      </c>
      <c r="H28" s="116" t="str">
        <f t="shared" si="1"/>
        <v>{"av-command": "stt-control", "data": {"listening": true}}</v>
      </c>
      <c r="I28" s="36" t="str">
        <f t="shared" si="2"/>
        <v/>
      </c>
      <c r="J28" s="36" t="str">
        <f t="shared" si="3"/>
        <v/>
      </c>
      <c r="K28" s="116" t="str">
        <f t="shared" si="27"/>
        <v/>
      </c>
      <c r="L28" s="36"/>
      <c r="M28" s="136" t="str">
        <f t="shared" si="45"/>
        <v>mute</v>
      </c>
      <c r="N28" s="116" t="str">
        <f t="shared" si="6"/>
        <v>{ "command": "mute", "entity": "Eliza", "data" : null}</v>
      </c>
      <c r="O28" s="129" t="str">
        <f t="shared" si="7"/>
        <v>{ "command": "mute", "entity": "Eliza", "data" : null}</v>
      </c>
      <c r="P28" s="81"/>
      <c r="Q28" s="37" t="str">
        <f t="shared" si="8"/>
        <v/>
      </c>
      <c r="R28" s="141"/>
      <c r="S28" s="148" t="str">
        <f t="shared" si="9"/>
        <v>user_spoke</v>
      </c>
      <c r="T28" s="137" t="str">
        <f t="shared" si="10"/>
        <v>{"words-in" : { "entity" : "user"} }</v>
      </c>
      <c r="U28" s="45"/>
      <c r="V28" s="35" t="str">
        <f>IF(OR(P28="",Y28=""),"",osc_exe_npmosc&amp;" --host "&amp;osc_ip&amp;":"&amp;osc_port_control&amp;" "&amp;Z28&amp; "  " &amp; j_qot &amp;X28 &amp; j_qot)</f>
        <v/>
      </c>
      <c r="W28" s="36" t="str">
        <f t="shared" si="30"/>
        <v/>
      </c>
      <c r="X28" s="36" t="str">
        <f t="shared" si="29"/>
        <v/>
      </c>
      <c r="Y28" s="34"/>
      <c r="Z28" s="36" t="str">
        <f t="shared" si="11"/>
        <v/>
      </c>
      <c r="AA28" s="36"/>
      <c r="AB28" s="36" t="str" cm="1">
        <f t="array" ref="AB28">IF(C28="observe",channel_av_observe,"") &amp; IF(C28="register",channel_av_register,"")  &amp; IF(C28="listen",channel_av_listen,"")</f>
        <v>/listen</v>
      </c>
      <c r="AC28" s="36" t="str">
        <f t="shared" si="12"/>
        <v/>
      </c>
      <c r="AD28" s="36" t="str">
        <f t="shared" si="13"/>
        <v/>
      </c>
      <c r="AE28" s="42"/>
      <c r="AF28" s="52" t="s">
        <v>136</v>
      </c>
      <c r="AG28" s="52"/>
      <c r="AH28" s="53"/>
      <c r="AI28" s="53"/>
      <c r="AJ28" s="53"/>
      <c r="AK28" s="56" t="str">
        <f t="shared" si="14"/>
        <v/>
      </c>
      <c r="AL28" s="53"/>
      <c r="AM28" s="133"/>
      <c r="AN28" s="53"/>
      <c r="AO28" s="53"/>
      <c r="AP28" s="53"/>
      <c r="AQ28" s="53"/>
      <c r="AR28" s="53"/>
      <c r="AS28" s="53"/>
      <c r="AT28" s="53"/>
      <c r="AU28" s="53"/>
      <c r="AV28" s="53"/>
      <c r="AW28" s="53"/>
      <c r="AX28" s="53"/>
      <c r="AY28" s="53"/>
      <c r="AZ28" s="53"/>
      <c r="BA28" s="53"/>
      <c r="BB28" s="53"/>
      <c r="BC28" s="54"/>
      <c r="BD28" s="42"/>
      <c r="BE28" s="35"/>
      <c r="BF28" s="54"/>
      <c r="BG28" s="108"/>
      <c r="BH28" s="108"/>
      <c r="BI28" s="108"/>
      <c r="BJ28" s="110"/>
      <c r="BK28" s="54"/>
      <c r="BL28" s="53"/>
      <c r="BM28" s="35"/>
      <c r="BN28" s="35"/>
      <c r="BO28" s="35"/>
      <c r="BP28" s="35"/>
      <c r="BQ28" s="35"/>
      <c r="BR28" s="54"/>
      <c r="BS28" s="35"/>
      <c r="BT28" s="35"/>
      <c r="BU28" s="35"/>
      <c r="BV28" s="35"/>
      <c r="BW28" s="35"/>
      <c r="BX28" s="54"/>
      <c r="BY28" s="34"/>
      <c r="BZ28" s="43"/>
      <c r="CA28" s="43"/>
      <c r="CB28" s="158" t="str">
        <f t="shared" si="44"/>
        <v/>
      </c>
      <c r="AOE28" s="28"/>
    </row>
    <row r="29" spans="1:86 1071:1071" s="27" customFormat="1">
      <c r="A29" s="32">
        <f t="shared" si="15"/>
        <v>26</v>
      </c>
      <c r="B29" s="32"/>
      <c r="C29" s="32" t="s">
        <v>137</v>
      </c>
      <c r="D29" s="32"/>
      <c r="E29" s="34" t="s">
        <v>138</v>
      </c>
      <c r="F29" s="34" t="str">
        <f t="shared" ref="F29:F53" si="46">IF(A29="listen","unmute","") &amp; IF(OR(A29="speak",A29="maketext"),"mute","")</f>
        <v/>
      </c>
      <c r="G29" s="34" t="str">
        <f t="shared" si="0"/>
        <v/>
      </c>
      <c r="H29" s="116" t="str">
        <f t="shared" si="1"/>
        <v/>
      </c>
      <c r="I29" s="36" t="str">
        <f t="shared" si="2"/>
        <v/>
      </c>
      <c r="J29" s="36" t="str">
        <f t="shared" si="3"/>
        <v/>
      </c>
      <c r="K29" s="116" t="str">
        <f t="shared" si="27"/>
        <v/>
      </c>
      <c r="L29" s="36" t="s">
        <v>137</v>
      </c>
      <c r="M29" s="136" t="str">
        <f t="shared" si="45"/>
        <v>hallucinate</v>
      </c>
      <c r="N29" s="116" t="str">
        <f t="shared" si="6"/>
        <v>{ "command": "hallucinate", "entity": "Eliza", "data" : null}</v>
      </c>
      <c r="O29" s="129" t="str">
        <f t="shared" si="7"/>
        <v>{ "command": "hallucinate", "entity": "Eliza", "data" : null}</v>
      </c>
      <c r="P29" s="81"/>
      <c r="Q29" s="37" t="str">
        <f t="shared" si="8"/>
        <v/>
      </c>
      <c r="R29" s="141">
        <v>0</v>
      </c>
      <c r="S29" s="148">
        <f t="shared" si="9"/>
        <v>0</v>
      </c>
      <c r="T29" s="137">
        <f t="shared" si="10"/>
        <v>0</v>
      </c>
      <c r="U29" s="45"/>
      <c r="V29" s="35" t="str">
        <f>IF(OR(P29="",Y29=""),"",osc_exe_npmosc&amp;" --host "&amp;osc_ip&amp;":"&amp;osc_port_control&amp;" "&amp;Z29&amp; "  " &amp; j_qot &amp;X29 &amp; j_qot)</f>
        <v/>
      </c>
      <c r="W29" s="36" t="str">
        <f t="shared" si="30"/>
        <v/>
      </c>
      <c r="X29" s="36" t="str">
        <f t="shared" si="29"/>
        <v/>
      </c>
      <c r="Y29" s="34"/>
      <c r="Z29" s="36" t="str">
        <f t="shared" si="11"/>
        <v/>
      </c>
      <c r="AA29" s="36"/>
      <c r="AB29" s="36" t="str" cm="1">
        <f t="array" ref="AB29">IF(C29="observe",channel_av_observe,"") &amp; IF(C29="register",channel_av_register,"")  &amp; IF(C29="listen",channel_av_listen,"")</f>
        <v/>
      </c>
      <c r="AC29" s="36" t="str">
        <f t="shared" si="12"/>
        <v/>
      </c>
      <c r="AD29" s="36" t="str">
        <f t="shared" si="13"/>
        <v/>
      </c>
      <c r="AE29" s="42"/>
      <c r="AF29" s="49" t="str">
        <f>"pre-generate text for cue "&amp;A65&amp;" – see sample text at cue "&amp;A59&amp;")"</f>
        <v>pre-generate text for cue 61 – see sample text at cue 55)</v>
      </c>
      <c r="AG29" s="127"/>
      <c r="AH29" s="49"/>
      <c r="AI29" s="49"/>
      <c r="AJ29" s="49"/>
      <c r="AK29" s="56" t="str">
        <f t="shared" si="14"/>
        <v/>
      </c>
      <c r="AL29" s="49"/>
      <c r="AM29" s="133"/>
      <c r="AN29" s="49"/>
      <c r="AO29" s="49"/>
      <c r="AP29" s="49"/>
      <c r="AQ29" s="49"/>
      <c r="AR29" s="49"/>
      <c r="AS29" s="49"/>
      <c r="AT29" s="49"/>
      <c r="AU29" s="49"/>
      <c r="AV29" s="49"/>
      <c r="AW29" s="49"/>
      <c r="AX29" s="49"/>
      <c r="AY29" s="49"/>
      <c r="AZ29" s="49"/>
      <c r="BA29" s="49"/>
      <c r="BB29" s="49"/>
      <c r="BC29" s="50"/>
      <c r="BD29" s="42"/>
      <c r="BE29" s="35"/>
      <c r="BF29" s="50"/>
      <c r="BG29" s="108"/>
      <c r="BH29" s="108"/>
      <c r="BI29" s="108"/>
      <c r="BJ29" s="110"/>
      <c r="BK29" s="50"/>
      <c r="BL29" s="49"/>
      <c r="BM29" s="35"/>
      <c r="BN29" s="35"/>
      <c r="BO29" s="35"/>
      <c r="BP29" s="35"/>
      <c r="BQ29" s="35"/>
      <c r="BR29" s="50"/>
      <c r="BS29" s="35"/>
      <c r="BT29" s="35"/>
      <c r="BU29" s="35"/>
      <c r="BV29" s="35"/>
      <c r="BW29" s="35"/>
      <c r="BX29" s="50"/>
      <c r="BY29" s="34"/>
      <c r="BZ29" s="43"/>
      <c r="CA29" s="43"/>
      <c r="CB29" s="158" t="str">
        <f t="shared" si="44"/>
        <v/>
      </c>
      <c r="AOE29" s="28"/>
    </row>
    <row r="30" spans="1:86 1071:1071" s="27" customFormat="1">
      <c r="A30" s="32">
        <f t="shared" si="15"/>
        <v>27</v>
      </c>
      <c r="B30" s="32"/>
      <c r="C30" s="32" t="s">
        <v>122</v>
      </c>
      <c r="D30" s="32"/>
      <c r="E30" s="34" t="s">
        <v>123</v>
      </c>
      <c r="F30" s="34" t="str">
        <f t="shared" si="46"/>
        <v/>
      </c>
      <c r="G30" s="34" t="str">
        <f t="shared" si="0"/>
        <v>mute</v>
      </c>
      <c r="H30" s="116" t="str">
        <f t="shared" si="1"/>
        <v>{"av-command": "stt-control", "data": {"listening": false}}</v>
      </c>
      <c r="I30" s="36" t="str">
        <f t="shared" si="2"/>
        <v/>
      </c>
      <c r="J30" s="36" t="str">
        <f t="shared" si="3"/>
        <v/>
      </c>
      <c r="K30" s="116" t="str">
        <f t="shared" si="27"/>
        <v/>
      </c>
      <c r="L30" s="36"/>
      <c r="M30" s="136" t="str">
        <f t="shared" si="45"/>
        <v>unmute</v>
      </c>
      <c r="N30" s="116" t="str">
        <f t="shared" si="6"/>
        <v>{ "command": "unmute", "entity": "Eliza", "data" : {"prompt" : "%prompt" }}</v>
      </c>
      <c r="O30" s="129" t="str">
        <f t="shared" si="7"/>
        <v>{ "command": "unmute", "entity": "Eliza", "data" : {"prompt" : "Go Deeper" }}</v>
      </c>
      <c r="P30" s="81"/>
      <c r="Q30" s="37" t="str">
        <f t="shared" si="8"/>
        <v>{"id":"27","type":"meat","channel":"","state":"think"}</v>
      </c>
      <c r="R30" s="141"/>
      <c r="S30" s="148" t="str">
        <f t="shared" si="9"/>
        <v>mask_generated</v>
      </c>
      <c r="T30" s="137" t="str">
        <f t="shared" si="10"/>
        <v>{"words-out" : { "entity" : "Eliza"} }</v>
      </c>
      <c r="U30" s="45"/>
      <c r="V30" s="35" t="str">
        <f>IF(OR(P30="",Y30=""),"",osc_exe_npmosc&amp;" --host "&amp;osc_ip&amp;":"&amp;osc_port_control&amp;" "&amp;Z30&amp; "  " &amp; j_qot &amp;X30 &amp; j_qot)</f>
        <v/>
      </c>
      <c r="W30" s="36" t="str">
        <f t="shared" si="30"/>
        <v/>
      </c>
      <c r="X30" s="36" t="str">
        <f t="shared" si="29"/>
        <v/>
      </c>
      <c r="Y30" s="34"/>
      <c r="Z30" s="36" t="str">
        <f t="shared" si="11"/>
        <v/>
      </c>
      <c r="AA30" s="36"/>
      <c r="AB30" s="36" t="str" cm="1">
        <f t="array" ref="AB30">IF(C30="observe",channel_av_observe,"") &amp; IF(C30="register",channel_av_register,"")  &amp; IF(C30="listen",channel_av_listen,"")</f>
        <v/>
      </c>
      <c r="AC30" s="36" t="str">
        <f t="shared" si="12"/>
        <v/>
      </c>
      <c r="AD30" s="36" t="str">
        <f t="shared" si="13"/>
        <v>/generate</v>
      </c>
      <c r="AE30" s="42"/>
      <c r="AF30" s="49" t="s">
        <v>139</v>
      </c>
      <c r="AG30" s="49" t="s">
        <v>125</v>
      </c>
      <c r="AH30" s="49"/>
      <c r="AI30" s="49"/>
      <c r="AJ30" s="49"/>
      <c r="AK30" s="56" t="str">
        <f t="shared" si="14"/>
        <v/>
      </c>
      <c r="AL30" s="49"/>
      <c r="AM30" s="133"/>
      <c r="AN30" s="49"/>
      <c r="AO30" s="49"/>
      <c r="AP30" s="49"/>
      <c r="AQ30" s="49"/>
      <c r="AR30" s="49"/>
      <c r="AS30" s="49"/>
      <c r="AT30" s="49"/>
      <c r="AU30" s="49"/>
      <c r="AV30" s="49"/>
      <c r="AW30" s="49"/>
      <c r="AX30" s="49"/>
      <c r="AY30" s="49"/>
      <c r="AZ30" s="49"/>
      <c r="BA30" s="49"/>
      <c r="BB30" s="49"/>
      <c r="BC30" s="50"/>
      <c r="BD30" s="42"/>
      <c r="BE30" s="35"/>
      <c r="BF30" s="50"/>
      <c r="BG30" s="108"/>
      <c r="BH30" s="108"/>
      <c r="BI30" s="108"/>
      <c r="BJ30" s="110"/>
      <c r="BK30" s="50"/>
      <c r="BL30" s="49"/>
      <c r="BM30" s="35"/>
      <c r="BN30" s="35"/>
      <c r="BO30" s="35"/>
      <c r="BP30" s="35"/>
      <c r="BQ30" s="35"/>
      <c r="BR30" s="50"/>
      <c r="BS30" s="35"/>
      <c r="BT30" s="35"/>
      <c r="BU30" s="35"/>
      <c r="BV30" s="35"/>
      <c r="BW30" s="35"/>
      <c r="BX30" s="50"/>
      <c r="BY30" s="34"/>
      <c r="BZ30" s="43"/>
      <c r="CA30" s="43"/>
      <c r="CB30" s="158" t="str">
        <f t="shared" si="44"/>
        <v/>
      </c>
      <c r="AOE30" s="28"/>
    </row>
    <row r="31" spans="1:86 1071:1071" s="27" customFormat="1">
      <c r="A31" s="32">
        <f t="shared" si="15"/>
        <v>28</v>
      </c>
      <c r="B31" s="32"/>
      <c r="C31" s="32" t="s">
        <v>100</v>
      </c>
      <c r="D31" s="32"/>
      <c r="E31" s="34" t="s">
        <v>127</v>
      </c>
      <c r="F31" s="34" t="str">
        <f t="shared" si="46"/>
        <v/>
      </c>
      <c r="G31" s="34" t="str">
        <f t="shared" si="0"/>
        <v>mute</v>
      </c>
      <c r="H31" s="116" t="str">
        <f t="shared" si="1"/>
        <v>{"av-command": "stt-control", "data": {"listening": false}}</v>
      </c>
      <c r="I31" s="36" t="str">
        <f t="shared" si="2"/>
        <v/>
      </c>
      <c r="J31" s="36" t="str">
        <f t="shared" si="3"/>
        <v/>
      </c>
      <c r="K31" s="116" t="str">
        <f t="shared" si="27"/>
        <v/>
      </c>
      <c r="L31" s="36"/>
      <c r="M31" s="136" t="str">
        <f t="shared" si="45"/>
        <v>speak</v>
      </c>
      <c r="N31" s="116" t="str">
        <f t="shared" si="6"/>
        <v>{ "command": "speak", "entity": "Eliza", "data" : { "text" : "%text"}}</v>
      </c>
      <c r="O31" s="129" t="str">
        <f t="shared" si="7"/>
        <v>{ "command": "speak", "entity": "Eliza", "data" : { "text" : "But why do you keep shaking your head?"}}</v>
      </c>
      <c r="P31" s="37" t="str">
        <f>IF(Y31&lt;&gt;"x","",j_opn&amp;"id"&amp;j_sep&amp;A31 &amp; j_nxt&amp;label_deepfake_name &amp; j_sep &amp; AH31 &amp; j_nxt&amp; "type" &amp; j_sep &amp; label_meat &amp; j_nxt&amp; "channel" &amp;j_sep&amp;Z31&amp;j_nxt&amp;label_role&amp;j_sep&amp;AE31&amp;j_nxt&amp;label_text&amp;j_sep&amp;AF31&amp;j_nxt&amp;label_gpt_emo&amp;j_sep&amp;BD31&amp;j_nxt&amp;label_gpt_tone&amp;j_sep&amp;BE31&amp;j_nxt&amp;label_animate&amp;j_sub_opn&amp;label_pre&amp;j_sep&amp;IF(do_anim=FALSE,"",BG31)&amp;j_nxt&amp;label_post&amp;j_sep&amp;IF(do_anim="","",BH31)&amp;j_nxt&amp;label_next_state&amp;j_sep&amp;BI31&amp;J_sub_cls&amp;label_azure&amp;j_sub_opn&amp;label_style&amp;j_sep&amp;BL31&amp;j_nxt&amp;label_degree&amp;J_sep_num&amp;BM31&amp;j_nxt_num&amp;label_pause&amp;J_sep_num&amp;BN31&amp;j_nxt_num&amp;label_pitch&amp;J_sep_num&amp;BO31&amp;j_nxt_num&amp;label_rate&amp;J_sep_num&amp;BP31&amp;j_nxt_num&amp;label_volume&amp;J_sep_num&amp;BQ31&amp;j_sub_cls_num&amp;label_emotion&amp;j_sub_opn&amp;label_sad&amp;J_sep_num&amp;BS31&amp;j_nxt_num&amp;label_joy&amp;J_sep_num&amp;BT31&amp;j_nxt_num&amp;label_fear&amp;J_sep_num&amp;BU31&amp;j_nxt_num&amp;label_disgust&amp;J_sep_num&amp;BV31&amp;j_nxt_num&amp;label_anger&amp;J_sep_num&amp;BW31&amp;j_sub_cls_num&amp;label_sg&amp;j_sub_opn&amp;label_mood&amp;j_sep&amp;BY31 &amp; j_nxt &amp; label_scale &amp; J_sep_num &amp; BZ31 &amp;j_nxt_num &amp;  label_freq &amp; J_sep_num &amp; CA31 &amp; j_end_num)</f>
        <v>{"id":"28","name":"inquiry 03","type":"meat","channel":"say","role":"mask","text":"But why do you keep shaking your head?","gpt_emotion":"","gpt_tone":"","animate":{"pre":"","post":"","next_state":""},"azure":{"style":"","degree":0,"pause":0,"pitch":0,"rate":0,"volume":0},"emotion":{"sadness":-1,"joy":-1,"fear":-1,"disgust":-1,"anger":-1},"sgcom":{"mood":"","scale":-1,"frequency":2}}</v>
      </c>
      <c r="Q31" s="37" t="str">
        <f t="shared" si="8"/>
        <v>{"id":"28","name":"inquiry 03","type":"meat","channel":"say","role":"mask","text":"But why do you keep shaking your head?","gpt_emotion":"","gpt_tone":"","animate":{"pre":"","post":"","next_state":""},"azure":{"style":"","degree":0,"pause":0,"pitch":0,"rate":0,"volume":0},"emotion":{"sadness":-1,"joy":-1,"fear":-1,"disgust":-1,"anger":-1},"sgcom":{"mood":"","scale":-1,"frequency":2}}</v>
      </c>
      <c r="R31" s="141"/>
      <c r="S31" s="148" t="str">
        <f t="shared" si="9"/>
        <v>mask_spoke</v>
      </c>
      <c r="T31" s="137" t="str">
        <f t="shared" si="10"/>
        <v>{"words-in" : { "entity" : "Eliza"} }</v>
      </c>
      <c r="U31" s="45"/>
      <c r="V31" s="35" t="str">
        <f>IF(OR(P31="",Y31=""),"",osc_exe_npmosc&amp;" --host "&amp;osc_ip&amp;":"&amp;osc_port_control&amp;" "&amp; osc_channel_meat_stub &amp; "  " &amp; j_qot &amp;X31 &amp; j_qot)</f>
        <v>/opt/homebrew/bin/osc --host 10.10.10.10:5918 /meat  "{#Qid#Q:#Q28#Q#C#Qname#Q:#Qinquiry#S03#Q#C#Qtype#Q:#Qmeat#Q#C#Qchannel#Q:#Qsay#Q#C#Qrole#Q:#Qmask#Q#C#Qtext#Q:#QBut#Swhy#Sdo#Syou#Skeep#Sshaking#Syour#Shead?#Q#C#Qgpt_emotion#Q:#Q#Q#C#Qgpt_tone#Q:#Q#Q#C#Qanimate#Q:{#Qpre#Q:#Q#Q#C#Qpost#Q:#Q#Q#C#Qnext_state#Q:#Q#Q}#C#Qazure#Q:{#Qstyle#Q:#Q#Q#C#Qdegree#Q:0#C#Qpause#Q:0#C#Qpitch#Q:0#C#Qrate#Q:0#C#Qvolume#Q:0}#C#Qemotion#Q:{#Qsadness#Q:-1#C#Qjoy#Q:-1#C#Qfear#Q:-1#C#Qdisgust#Q:-1#C#Qanger#Q:-1}#C#Qsgcom#Q:{#Qmood#Q:#Q#Q#C#Qscale#Q:-1#C#Qfrequency#Q:2}}"</v>
      </c>
      <c r="W31" s="36" t="str">
        <f t="shared" si="30"/>
        <v>/opt/homebrew/bin/sendosc 10.10.10.10 5918 say s {\"id\":\"28\",\"name\":\"inquiry\ 03\",\"type\":\"meat\",\"channel\":\"say\",\"role\":\"mask\",\"text\":\"But\ why\ do\ you\ keep\ shaking\ your\ head\?\",\"gpt_emotion\":\"\",\"gpt_tone\":\"\",\"animate\":{\"pre\":\"\",\"post\":\"\",\"next_state\":\"\"\},\"azure\":{\"style\":\"\",\"degree\":0,\"pause\":0,\"pitch\":0,\"rate\":0,\"volume\":0\},\"emotion\":{\"sadness\":-1,\"joy\":-1,\"fear\":-1,\"disgust\":-1,\"anger\":-1\},\"sgcom\":{\"mood\":\"\",\"scale\":-1,\"frequency\":2\}\}</v>
      </c>
      <c r="X31" s="36" t="str">
        <f t="shared" si="29"/>
        <v>{#Qid#Q:#Q28#Q#C#Qname#Q:#Qinquiry#S03#Q#C#Qtype#Q:#Qmeat#Q#C#Qchannel#Q:#Qsay#Q#C#Qrole#Q:#Qmask#Q#C#Qtext#Q:#QBut#Swhy#Sdo#Syou#Skeep#Sshaking#Syour#Shead?#Q#C#Qgpt_emotion#Q:#Q#Q#C#Qgpt_tone#Q:#Q#Q#C#Qanimate#Q:{#Qpre#Q:#Q#Q#C#Qpost#Q:#Q#Q#C#Qnext_state#Q:#Q#Q}#C#Qazure#Q:{#Qstyle#Q:#Q#Q#C#Qdegree#Q:0#C#Qpause#Q:0#C#Qpitch#Q:0#C#Qrate#Q:0#C#Qvolume#Q:0}#C#Qemotion#Q:{#Qsadness#Q:-1#C#Qjoy#Q:-1#C#Qfear#Q:-1#C#Qdisgust#Q:-1#C#Qanger#Q:-1}#C#Qsgcom#Q:{#Qmood#Q:#Q#Q#C#Qscale#Q:-1#C#Qfrequency#Q:2}}</v>
      </c>
      <c r="Y31" s="40" t="s">
        <v>102</v>
      </c>
      <c r="Z31" s="36" t="str">
        <f t="shared" si="11"/>
        <v>say</v>
      </c>
      <c r="AA31" s="36"/>
      <c r="AB31" s="36" t="str" cm="1">
        <f t="array" ref="AB31">IF(C31="observe",channel_av_observe,"") &amp; IF(C31="register",channel_av_register,"")  &amp; IF(C31="listen",channel_av_listen,"")</f>
        <v/>
      </c>
      <c r="AC31" s="36" t="str">
        <f t="shared" si="12"/>
        <v/>
      </c>
      <c r="AD31" s="36" t="str">
        <f t="shared" si="13"/>
        <v/>
      </c>
      <c r="AE31" s="42" t="s">
        <v>103</v>
      </c>
      <c r="AF31" s="51" t="s">
        <v>140</v>
      </c>
      <c r="AG31" s="51"/>
      <c r="AH31" s="49" t="s">
        <v>141</v>
      </c>
      <c r="AI31" s="49"/>
      <c r="AJ31" s="114">
        <f>A31</f>
        <v>28</v>
      </c>
      <c r="AK31" s="56" t="str">
        <f>IF(AH31="","",TEXT(SUBSTITUTE(AJ31," ","_"),"000") &amp; "_" &amp; AH31)</f>
        <v>028_inquiry 03</v>
      </c>
      <c r="AL31" s="49"/>
      <c r="AM31" s="133"/>
      <c r="AN31" s="49"/>
      <c r="AO31" s="49"/>
      <c r="AP31" s="49"/>
      <c r="AQ31" s="49"/>
      <c r="AR31" s="49"/>
      <c r="AS31" s="49"/>
      <c r="AT31" s="49"/>
      <c r="AU31" s="49"/>
      <c r="AV31" s="49"/>
      <c r="AW31" s="49"/>
      <c r="AX31" s="49"/>
      <c r="AY31" s="49"/>
      <c r="AZ31" s="49"/>
      <c r="BA31" s="49"/>
      <c r="BB31" s="49"/>
      <c r="BC31" s="50"/>
      <c r="BD31" s="42"/>
      <c r="BE31" s="42"/>
      <c r="BF31" s="50"/>
      <c r="BG31" s="108"/>
      <c r="BH31" s="108"/>
      <c r="BI31" s="108"/>
      <c r="BJ31" s="110"/>
      <c r="BK31" s="50"/>
      <c r="BL31" s="42"/>
      <c r="BM31" s="35">
        <v>0</v>
      </c>
      <c r="BN31" s="35">
        <v>0</v>
      </c>
      <c r="BO31" s="35">
        <v>0</v>
      </c>
      <c r="BP31" s="35">
        <v>0</v>
      </c>
      <c r="BQ31" s="35">
        <v>0</v>
      </c>
      <c r="BR31" s="50"/>
      <c r="BS31" s="35">
        <v>-1</v>
      </c>
      <c r="BT31" s="35">
        <v>-1</v>
      </c>
      <c r="BU31" s="35">
        <v>-1</v>
      </c>
      <c r="BV31" s="35">
        <v>-1</v>
      </c>
      <c r="BW31" s="35">
        <v>-1</v>
      </c>
      <c r="BX31" s="50"/>
      <c r="BY31" s="34"/>
      <c r="BZ31" s="43">
        <v>-1</v>
      </c>
      <c r="CA31" s="43" t="s">
        <v>566</v>
      </c>
      <c r="CB31" s="158" t="str">
        <f t="shared" si="44"/>
        <v>{"azure":{"style":"","degree":0,"pause":0,"pitch":0,"rate":0,"volume":0},"emotion":{"sadness":-1,"joy":-1,"fear":-1,"disgust":-1,"anger":-1},"sgcom":{"mood":"","scale":-1}}</v>
      </c>
      <c r="AOE31" s="28"/>
    </row>
    <row r="32" spans="1:86 1071:1071" s="27" customFormat="1">
      <c r="A32" s="32">
        <f t="shared" si="15"/>
        <v>29</v>
      </c>
      <c r="B32" s="32"/>
      <c r="C32" s="32" t="s">
        <v>109</v>
      </c>
      <c r="D32" s="32"/>
      <c r="E32" s="34" t="s">
        <v>110</v>
      </c>
      <c r="F32" s="34" t="str">
        <f t="shared" si="46"/>
        <v/>
      </c>
      <c r="G32" s="34" t="str">
        <f t="shared" si="0"/>
        <v>unmute</v>
      </c>
      <c r="H32" s="116" t="str">
        <f t="shared" si="1"/>
        <v>{"av-command": "stt-control", "data": {"listening": true}}</v>
      </c>
      <c r="I32" s="36" t="str">
        <f t="shared" si="2"/>
        <v/>
      </c>
      <c r="J32" s="36" t="str">
        <f t="shared" si="3"/>
        <v/>
      </c>
      <c r="K32" s="116" t="str">
        <f t="shared" si="27"/>
        <v/>
      </c>
      <c r="L32" s="36"/>
      <c r="M32" s="136" t="str">
        <f t="shared" si="45"/>
        <v>mute</v>
      </c>
      <c r="N32" s="116" t="str">
        <f t="shared" si="6"/>
        <v>{ "command": "mute", "entity": "Eliza", "data" : null}</v>
      </c>
      <c r="O32" s="129" t="str">
        <f t="shared" si="7"/>
        <v>{ "command": "mute", "entity": "Eliza", "data" : null}</v>
      </c>
      <c r="P32" s="81"/>
      <c r="Q32" s="37" t="str">
        <f t="shared" si="8"/>
        <v/>
      </c>
      <c r="R32" s="141"/>
      <c r="S32" s="148" t="str">
        <f t="shared" si="9"/>
        <v>user_spoke</v>
      </c>
      <c r="T32" s="137" t="str">
        <f t="shared" si="10"/>
        <v>{"words-in" : { "entity" : "user"} }</v>
      </c>
      <c r="U32" s="45"/>
      <c r="V32" s="35" t="str">
        <f>IF(OR(P32="",Y32=""),"",osc_exe_npmosc&amp;" --host "&amp;osc_ip&amp;":"&amp;osc_port_control&amp;" "&amp;Z32&amp; "  " &amp; j_qot &amp;X32 &amp; j_qot)</f>
        <v/>
      </c>
      <c r="W32" s="36" t="str">
        <f t="shared" si="30"/>
        <v/>
      </c>
      <c r="X32" s="36" t="str">
        <f t="shared" si="29"/>
        <v/>
      </c>
      <c r="Y32" s="34"/>
      <c r="Z32" s="36" t="str">
        <f t="shared" si="11"/>
        <v/>
      </c>
      <c r="AA32" s="36"/>
      <c r="AB32" s="36" t="str" cm="1">
        <f t="array" ref="AB32">IF(C32="observe",channel_av_observe,"") &amp; IF(C32="register",channel_av_register,"")  &amp; IF(C32="listen",channel_av_listen,"")</f>
        <v>/listen</v>
      </c>
      <c r="AC32" s="36" t="str">
        <f t="shared" si="12"/>
        <v/>
      </c>
      <c r="AD32" s="36" t="str">
        <f t="shared" si="13"/>
        <v/>
      </c>
      <c r="AE32" s="42"/>
      <c r="AF32" s="52" t="s">
        <v>142</v>
      </c>
      <c r="AG32" s="52"/>
      <c r="AH32" s="53"/>
      <c r="AI32" s="53"/>
      <c r="AJ32" s="53"/>
      <c r="AK32" s="56" t="str">
        <f t="shared" si="14"/>
        <v/>
      </c>
      <c r="AL32" s="53"/>
      <c r="AM32" s="133"/>
      <c r="AN32" s="53"/>
      <c r="AO32" s="53"/>
      <c r="AP32" s="53"/>
      <c r="AQ32" s="53"/>
      <c r="AR32" s="53"/>
      <c r="AS32" s="53"/>
      <c r="AT32" s="53"/>
      <c r="AU32" s="53"/>
      <c r="AV32" s="53"/>
      <c r="AW32" s="53"/>
      <c r="AX32" s="53"/>
      <c r="AY32" s="53"/>
      <c r="AZ32" s="53"/>
      <c r="BA32" s="53"/>
      <c r="BB32" s="53"/>
      <c r="BC32" s="54"/>
      <c r="BD32" s="42"/>
      <c r="BE32" s="35"/>
      <c r="BF32" s="54"/>
      <c r="BG32" s="108"/>
      <c r="BH32" s="108"/>
      <c r="BI32" s="108"/>
      <c r="BJ32" s="110"/>
      <c r="BK32" s="54"/>
      <c r="BL32" s="53"/>
      <c r="BM32" s="35"/>
      <c r="BN32" s="35"/>
      <c r="BO32" s="35"/>
      <c r="BP32" s="35"/>
      <c r="BQ32" s="35"/>
      <c r="BR32" s="54"/>
      <c r="BS32" s="35"/>
      <c r="BT32" s="35"/>
      <c r="BU32" s="35"/>
      <c r="BV32" s="35"/>
      <c r="BW32" s="35"/>
      <c r="BX32" s="54"/>
      <c r="BY32" s="34"/>
      <c r="BZ32" s="43"/>
      <c r="CA32" s="43"/>
      <c r="CB32" s="158" t="str">
        <f t="shared" si="44"/>
        <v/>
      </c>
      <c r="AOE32" s="28"/>
    </row>
    <row r="33" spans="1:80 1071:1071" s="27" customFormat="1">
      <c r="A33" s="32">
        <f t="shared" si="15"/>
        <v>30</v>
      </c>
      <c r="B33" s="32"/>
      <c r="C33" s="32" t="s">
        <v>100</v>
      </c>
      <c r="D33" s="32"/>
      <c r="E33" s="34" t="s">
        <v>101</v>
      </c>
      <c r="F33" s="34" t="str">
        <f t="shared" si="46"/>
        <v/>
      </c>
      <c r="G33" s="34" t="str">
        <f t="shared" si="0"/>
        <v>mute</v>
      </c>
      <c r="H33" s="116" t="str">
        <f t="shared" si="1"/>
        <v>{"av-command": "stt-control", "data": {"listening": false}}</v>
      </c>
      <c r="I33" s="36" t="str">
        <f t="shared" si="2"/>
        <v/>
      </c>
      <c r="J33" s="36" t="str">
        <f t="shared" si="3"/>
        <v/>
      </c>
      <c r="K33" s="116" t="str">
        <f t="shared" si="27"/>
        <v/>
      </c>
      <c r="L33" s="36"/>
      <c r="M33" s="136" t="str">
        <f t="shared" si="45"/>
        <v>speak</v>
      </c>
      <c r="N33" s="116" t="str">
        <f t="shared" si="6"/>
        <v>{ "command": "speak", "entity": "Eliza", "data" : { "text" : "%text"}}</v>
      </c>
      <c r="O33" s="129" t="str">
        <f t="shared" si="7"/>
        <v>{ "command": "speak", "entity": "Eliza", "data" : { "text" : "[break=0] [prosody pitch=-15 rate=-10]okay[/prosody]. Did you bring your diary with you?"}}</v>
      </c>
      <c r="P33" s="37" t="str">
        <f>IF(Y33&lt;&gt;"x","",j_opn&amp;"id"&amp;j_sep&amp;A33 &amp; j_nxt&amp;label_deepfake_name &amp; j_sep &amp; AH33 &amp; j_nxt&amp; "type" &amp; j_sep &amp; label_meat &amp; j_nxt&amp; "channel" &amp;j_sep&amp;Z33&amp;j_nxt&amp;label_role&amp;j_sep&amp;AE33&amp;j_nxt&amp;label_text&amp;j_sep&amp;AF33&amp;j_nxt&amp;label_gpt_emo&amp;j_sep&amp;BD33&amp;j_nxt&amp;label_gpt_tone&amp;j_sep&amp;BE33&amp;j_nxt&amp;label_animate&amp;j_sub_opn&amp;label_pre&amp;j_sep&amp;IF(do_anim=FALSE,"",BG33)&amp;j_nxt&amp;label_post&amp;j_sep&amp;IF(do_anim="","",BH33)&amp;j_nxt&amp;label_next_state&amp;j_sep&amp;BI33&amp;J_sub_cls&amp;label_azure&amp;j_sub_opn&amp;label_style&amp;j_sep&amp;BL33&amp;j_nxt&amp;label_degree&amp;J_sep_num&amp;BM33&amp;j_nxt_num&amp;label_pause&amp;J_sep_num&amp;BN33&amp;j_nxt_num&amp;label_pitch&amp;J_sep_num&amp;BO33&amp;j_nxt_num&amp;label_rate&amp;J_sep_num&amp;BP33&amp;j_nxt_num&amp;label_volume&amp;J_sep_num&amp;BQ33&amp;j_sub_cls_num&amp;label_emotion&amp;j_sub_opn&amp;label_sad&amp;J_sep_num&amp;BS33&amp;j_nxt_num&amp;label_joy&amp;J_sep_num&amp;BT33&amp;j_nxt_num&amp;label_fear&amp;J_sep_num&amp;BU33&amp;j_nxt_num&amp;label_disgust&amp;J_sep_num&amp;BV33&amp;j_nxt_num&amp;label_anger&amp;J_sep_num&amp;BW33&amp;j_sub_cls_num&amp;label_sg&amp;j_sub_opn&amp;label_mood&amp;j_sep&amp;BY33&amp;j_nxt&amp;label_scale&amp;J_sep_num&amp;BZ33&amp;j_end_num)</f>
        <v>{"id":"30","name":"did_you_bring_diary","type":"meat","channel":"say","role":"mask","text":"[break=0] [prosody pitch=-15 rate=-10]okay[/prosody]. Did you bring your diary with you?","gpt_emotion":"","gpt_tone":"","animate":{"pre":"","post":"","next_state":""},"azure":{"style":"Excited","degree":0.3,"pause":0,"pitch":0,"rate":-8,"volume":0},"emotion":{"sadness":0,"joy":0.2,"fear":0,"disgust":0,"anger":0},"sgcom":{"mood":"positive","scale":0.5}}</v>
      </c>
      <c r="Q33" s="37" t="str">
        <f t="shared" si="8"/>
        <v>{"id":"30","name":"did_you_bring_diary","type":"meat","channel":"say","role":"mask","text":"[break=0] [prosody pitch=-15 rate=-10]okay[/prosody]. Did you bring your diary with you?","gpt_emotion":"","gpt_tone":"","animate":{"pre":"","post":"","next_state":""},"azure":{"style":"Excited","degree":0.3,"pause":0,"pitch":0,"rate":-8,"volume":0},"emotion":{"sadness":0,"joy":0.2,"fear":0,"disgust":0,"anger":0},"sgcom":{"mood":"positive","scale":0.5}}</v>
      </c>
      <c r="R33" s="141"/>
      <c r="S33" s="148" t="str">
        <f t="shared" si="9"/>
        <v>mask_spoke</v>
      </c>
      <c r="T33" s="137" t="str">
        <f t="shared" si="10"/>
        <v>{"words-in" : { "entity" : "Eliza"} }</v>
      </c>
      <c r="U33" s="45"/>
      <c r="V33" s="35" t="str">
        <f>IF(OR(P33="",Y33=""),"",osc_exe_npmosc&amp;" --host "&amp;osc_ip&amp;":"&amp;osc_port_control&amp;" "&amp; osc_channel_meat_stub &amp; "  " &amp; j_qot &amp;X33 &amp; j_qot)</f>
        <v>/opt/homebrew/bin/osc --host 10.10.10.10:5918 /meat  "{#Qid#Q:#Q30#Q#C#Qname#Q:#Qdid_you_bring_diary#Q#C#Qtype#Q:#Qmeat#Q#C#Qchannel#Q:#Qsay#Q#C#Qrole#Q:#Qmask#Q#C#Qtext#Q:#Q[break=0]#S[prosody#Spitch=-15#Srate=-10]okay[/prosody].#SDid#Syou#Sbring#Syour#Sdiary#Swith#Syou?#Q#C#Qgpt_emotion#Q:#Q#Q#C#Qgpt_tone#Q:#Q#Q#C#Qanimate#Q:{#Qpre#Q:#Q#Q#C#Qpost#Q:#Q#Q#C#Qnext_state#Q:#Q#Q}#C#Qazure#Q:{#Qstyle#Q:#QExcited#Q#C#Qdegree#Q:0.3#C#Qpause#Q:0#C#Qpitch#Q:0#C#Qrate#Q:-8#C#Qvolume#Q:0}#C#Qemotion#Q:{#Qsadness#Q:0#C#Qjoy#Q:0.2#C#Qfear#Q:0#C#Qdisgust#Q:0#C#Qanger#Q:0}#C#Qsgcom#Q:{#Qmood#Q:#Qpositive#Q#C#Qscale#Q:0.5}}"</v>
      </c>
      <c r="W33" s="36" t="str">
        <f t="shared" si="30"/>
        <v>/opt/homebrew/bin/sendosc 10.10.10.10 5918 say s {\"id\":\"30\",\"name\":\"did_you_bring_diary\",\"type\":\"meat\",\"channel\":\"say\",\"role\":\"mask\",\"text\":\"[break=0]\ [prosody\ pitch=-15\ rate=-10]okay[/prosody].\ Did\ you\ bring\ your\ diary\ with\ you\?\",\"gpt_emotion\":\"\",\"gpt_tone\":\"\",\"animate\":{\"pre\":\"\",\"post\":\"\",\"next_state\":\"\"\},\"azure\":{\"style\":\"Excited\",\"degree\":0.3,\"pause\":0,\"pitch\":0,\"rate\":-8,\"volume\":0\},\"emotion\":{\"sadness\":0,\"joy\":0.2,\"fear\":0,\"disgust\":0,\"anger\":0\},\"sgcom\":{\"mood\":\"positive\",\"scale\":0.5\}\}</v>
      </c>
      <c r="X33" s="36" t="str">
        <f t="shared" si="29"/>
        <v>{#Qid#Q:#Q30#Q#C#Qname#Q:#Qdid_you_bring_diary#Q#C#Qtype#Q:#Qmeat#Q#C#Qchannel#Q:#Qsay#Q#C#Qrole#Q:#Qmask#Q#C#Qtext#Q:#Q[break=0]#S[prosody#Spitch=-15#Srate=-10]okay[/prosody].#SDid#Syou#Sbring#Syour#Sdiary#Swith#Syou?#Q#C#Qgpt_emotion#Q:#Q#Q#C#Qgpt_tone#Q:#Q#Q#C#Qanimate#Q:{#Qpre#Q:#Q#Q#C#Qpost#Q:#Q#Q#C#Qnext_state#Q:#Q#Q}#C#Qazure#Q:{#Qstyle#Q:#QExcited#Q#C#Qdegree#Q:0.3#C#Qpause#Q:0#C#Qpitch#Q:0#C#Qrate#Q:-8#C#Qvolume#Q:0}#C#Qemotion#Q:{#Qsadness#Q:0#C#Qjoy#Q:0.2#C#Qfear#Q:0#C#Qdisgust#Q:0#C#Qanger#Q:0}#C#Qsgcom#Q:{#Qmood#Q:#Qpositive#Q#C#Qscale#Q:0.5}}</v>
      </c>
      <c r="Y33" s="40" t="s">
        <v>102</v>
      </c>
      <c r="Z33" s="36" t="str">
        <f t="shared" si="11"/>
        <v>say</v>
      </c>
      <c r="AA33" s="36"/>
      <c r="AB33" s="36" t="str" cm="1">
        <f t="array" ref="AB33">IF(C33="observe",channel_av_observe,"") &amp; IF(C33="register",channel_av_register,"")  &amp; IF(C33="listen",channel_av_listen,"")</f>
        <v/>
      </c>
      <c r="AC33" s="36" t="str">
        <f t="shared" si="12"/>
        <v/>
      </c>
      <c r="AD33" s="36" t="str">
        <f t="shared" si="13"/>
        <v/>
      </c>
      <c r="AE33" s="42" t="s">
        <v>103</v>
      </c>
      <c r="AF33" s="37" t="s">
        <v>143</v>
      </c>
      <c r="AG33" s="37"/>
      <c r="AH33" s="37" t="s">
        <v>144</v>
      </c>
      <c r="AI33" s="37"/>
      <c r="AJ33" s="114">
        <f>A33</f>
        <v>30</v>
      </c>
      <c r="AK33" s="56" t="str">
        <f>IF(AH33="","",TEXT(SUBSTITUTE(AJ33," ","_"),"000") &amp; "_" &amp; AH33)</f>
        <v>030_did_you_bring_diary</v>
      </c>
      <c r="AL33" s="37"/>
      <c r="AM33" s="133"/>
      <c r="AN33" s="37"/>
      <c r="AO33" s="37"/>
      <c r="AP33" s="37"/>
      <c r="AQ33" s="37"/>
      <c r="AR33" s="37"/>
      <c r="AS33" s="37"/>
      <c r="AT33" s="37"/>
      <c r="AU33" s="37"/>
      <c r="AV33" s="37"/>
      <c r="AW33" s="37"/>
      <c r="AX33" s="37"/>
      <c r="AY33" s="37"/>
      <c r="AZ33" s="37"/>
      <c r="BA33" s="37"/>
      <c r="BB33" s="37"/>
      <c r="BC33" s="41"/>
      <c r="BD33" s="42"/>
      <c r="BE33" s="42"/>
      <c r="BF33" s="41"/>
      <c r="BG33" s="108"/>
      <c r="BH33" s="108"/>
      <c r="BI33" s="108"/>
      <c r="BJ33" s="110"/>
      <c r="BK33" s="41"/>
      <c r="BL33" s="42" t="s">
        <v>145</v>
      </c>
      <c r="BM33" s="55" t="s">
        <v>115</v>
      </c>
      <c r="BN33" s="35">
        <v>0</v>
      </c>
      <c r="BO33" s="35">
        <v>0</v>
      </c>
      <c r="BP33" s="35">
        <v>-8</v>
      </c>
      <c r="BQ33" s="35">
        <v>0</v>
      </c>
      <c r="BR33" s="41"/>
      <c r="BS33" s="35">
        <v>0</v>
      </c>
      <c r="BT33" s="35" t="s">
        <v>116</v>
      </c>
      <c r="BU33" s="35">
        <v>0</v>
      </c>
      <c r="BV33" s="35">
        <v>0</v>
      </c>
      <c r="BW33" s="35">
        <v>0</v>
      </c>
      <c r="BX33" s="41"/>
      <c r="BY33" s="34" t="s">
        <v>108</v>
      </c>
      <c r="BZ33" s="43" t="s">
        <v>107</v>
      </c>
      <c r="CA33" s="43" t="s">
        <v>107</v>
      </c>
      <c r="CB33" s="158" t="str">
        <f t="shared" si="44"/>
        <v>{"azure":{"style":"Excited","degree":0.3,"pause":0,"pitch":0,"rate":-8,"volume":0},"emotion":{"sadness":0,"joy":0.2,"fear":0,"disgust":0,"anger":0},"sgcom":{"mood":"positive","scale":0.5}}</v>
      </c>
      <c r="AOE33" s="28"/>
    </row>
    <row r="34" spans="1:80 1071:1071" s="27" customFormat="1">
      <c r="A34" s="32">
        <f t="shared" si="15"/>
        <v>31</v>
      </c>
      <c r="B34" s="32"/>
      <c r="C34" s="32" t="s">
        <v>109</v>
      </c>
      <c r="D34" s="32"/>
      <c r="E34" s="34" t="s">
        <v>110</v>
      </c>
      <c r="F34" s="34" t="str">
        <f t="shared" si="46"/>
        <v/>
      </c>
      <c r="G34" s="34" t="str">
        <f t="shared" si="0"/>
        <v>unmute</v>
      </c>
      <c r="H34" s="116" t="str">
        <f t="shared" si="1"/>
        <v>{"av-command": "stt-control", "data": {"listening": true}}</v>
      </c>
      <c r="I34" s="36" t="str">
        <f t="shared" si="2"/>
        <v/>
      </c>
      <c r="J34" s="36" t="str">
        <f t="shared" si="3"/>
        <v/>
      </c>
      <c r="K34" s="116" t="str">
        <f t="shared" si="27"/>
        <v/>
      </c>
      <c r="L34" s="36"/>
      <c r="M34" s="136" t="str">
        <f t="shared" si="45"/>
        <v>mute</v>
      </c>
      <c r="N34" s="116" t="str">
        <f t="shared" si="6"/>
        <v>{ "command": "mute", "entity": "Eliza", "data" : null}</v>
      </c>
      <c r="O34" s="129" t="str">
        <f t="shared" si="7"/>
        <v>{ "command": "mute", "entity": "Eliza", "data" : null}</v>
      </c>
      <c r="P34" s="81"/>
      <c r="Q34" s="37" t="str">
        <f t="shared" si="8"/>
        <v/>
      </c>
      <c r="R34" s="141"/>
      <c r="S34" s="148" t="str">
        <f t="shared" si="9"/>
        <v>user_spoke</v>
      </c>
      <c r="T34" s="137" t="str">
        <f t="shared" si="10"/>
        <v>{"words-in" : { "entity" : "user"} }</v>
      </c>
      <c r="U34" s="45"/>
      <c r="V34" s="35" t="str">
        <f>IF(OR(P34="",Y34=""),"",osc_exe_npmosc&amp;" --host "&amp;osc_ip&amp;":"&amp;osc_port_control&amp;" "&amp;Z34&amp; "  " &amp; j_qot &amp;X34 &amp; j_qot)</f>
        <v/>
      </c>
      <c r="W34" s="36" t="str">
        <f t="shared" si="30"/>
        <v/>
      </c>
      <c r="X34" s="36" t="str">
        <f t="shared" si="29"/>
        <v/>
      </c>
      <c r="Y34" s="34"/>
      <c r="Z34" s="36" t="str">
        <f t="shared" si="11"/>
        <v/>
      </c>
      <c r="AA34" s="36"/>
      <c r="AB34" s="36" t="str" cm="1">
        <f t="array" ref="AB34">IF(C34="observe",channel_av_observe,"") &amp; IF(C34="register",channel_av_register,"")  &amp; IF(C34="listen",channel_av_listen,"")</f>
        <v>/listen</v>
      </c>
      <c r="AC34" s="36" t="str">
        <f t="shared" si="12"/>
        <v/>
      </c>
      <c r="AD34" s="36" t="str">
        <f t="shared" si="13"/>
        <v/>
      </c>
      <c r="AE34" s="42"/>
      <c r="AF34" s="46" t="s">
        <v>146</v>
      </c>
      <c r="AG34" s="46"/>
      <c r="AH34" s="47"/>
      <c r="AI34" s="47"/>
      <c r="AJ34" s="47"/>
      <c r="AK34" s="56" t="str">
        <f t="shared" si="14"/>
        <v/>
      </c>
      <c r="AL34" s="47"/>
      <c r="AM34" s="133"/>
      <c r="AN34" s="47"/>
      <c r="AO34" s="47"/>
      <c r="AP34" s="47"/>
      <c r="AQ34" s="47"/>
      <c r="AR34" s="47"/>
      <c r="AS34" s="47"/>
      <c r="AT34" s="47"/>
      <c r="AU34" s="47"/>
      <c r="AV34" s="47"/>
      <c r="AW34" s="47"/>
      <c r="AX34" s="47"/>
      <c r="AY34" s="47"/>
      <c r="AZ34" s="47"/>
      <c r="BA34" s="47"/>
      <c r="BB34" s="47"/>
      <c r="BC34" s="48"/>
      <c r="BD34" s="42"/>
      <c r="BE34" s="35"/>
      <c r="BF34" s="48"/>
      <c r="BG34" s="108"/>
      <c r="BH34" s="108"/>
      <c r="BI34" s="108"/>
      <c r="BJ34" s="110"/>
      <c r="BK34" s="48"/>
      <c r="BL34" s="47"/>
      <c r="BM34" s="35"/>
      <c r="BN34" s="35"/>
      <c r="BO34" s="35"/>
      <c r="BP34" s="35"/>
      <c r="BQ34" s="35"/>
      <c r="BR34" s="48"/>
      <c r="BS34" s="35"/>
      <c r="BT34" s="35"/>
      <c r="BU34" s="35"/>
      <c r="BV34" s="35"/>
      <c r="BW34" s="35"/>
      <c r="BX34" s="48"/>
      <c r="BY34" s="34"/>
      <c r="BZ34" s="43"/>
      <c r="CA34" s="43"/>
      <c r="CB34" s="158" t="str">
        <f t="shared" si="44"/>
        <v/>
      </c>
      <c r="AOE34" s="28"/>
    </row>
    <row r="35" spans="1:80 1071:1071" s="27" customFormat="1">
      <c r="A35" s="32">
        <f t="shared" si="15"/>
        <v>32</v>
      </c>
      <c r="B35" s="32"/>
      <c r="C35" s="32" t="s">
        <v>100</v>
      </c>
      <c r="D35" s="32"/>
      <c r="E35" s="34" t="s">
        <v>101</v>
      </c>
      <c r="F35" s="34" t="str">
        <f t="shared" si="46"/>
        <v/>
      </c>
      <c r="G35" s="34" t="str">
        <f t="shared" si="0"/>
        <v>mute</v>
      </c>
      <c r="H35" s="116" t="str">
        <f t="shared" si="1"/>
        <v>{"av-command": "stt-control", "data": {"listening": false}}</v>
      </c>
      <c r="I35" s="36" t="str">
        <f t="shared" si="2"/>
        <v/>
      </c>
      <c r="J35" s="36" t="str">
        <f t="shared" si="3"/>
        <v/>
      </c>
      <c r="K35" s="116" t="str">
        <f t="shared" si="27"/>
        <v/>
      </c>
      <c r="L35" s="36"/>
      <c r="M35" s="136" t="str">
        <f t="shared" si="45"/>
        <v>speak</v>
      </c>
      <c r="N35" s="116" t="str">
        <f t="shared" si="6"/>
        <v>{ "command": "speak", "entity": "Eliza", "data" : { "text" : "%text"}}</v>
      </c>
      <c r="O35" s="129" t="str">
        <f t="shared" si="7"/>
        <v>{ "command": "speak", "entity": "Eliza", "data" : { "text" : "Your [prosody pitch=30 rate=-20] dream [/prosody] diary. We discussed this last time. [prosody rate=-15] Dont you [prosody pitch=8]remember[/prosody][/prosody]?"}}</v>
      </c>
      <c r="P35" s="37" t="str">
        <f>IF(Y35&lt;&gt;"x","",j_opn&amp;"id"&amp;j_sep&amp;A35 &amp; j_nxt&amp;label_deepfake_name &amp; j_sep &amp; AH35 &amp; j_nxt&amp; "type" &amp; j_sep &amp; label_meat &amp; j_nxt&amp; "channel" &amp;j_sep&amp;Z35&amp;j_nxt&amp;label_role&amp;j_sep&amp;AE35&amp;j_nxt&amp;label_text&amp;j_sep&amp;AF35&amp;j_nxt&amp;label_gpt_emo&amp;j_sep&amp;BD35&amp;j_nxt&amp;label_gpt_tone&amp;j_sep&amp;BE35&amp;j_nxt&amp;label_animate&amp;j_sub_opn&amp;label_pre&amp;j_sep&amp;IF(do_anim=FALSE,"",BG35)&amp;j_nxt&amp;label_post&amp;j_sep&amp;IF(do_anim="","",BH35)&amp;j_nxt&amp;label_next_state&amp;j_sep&amp;BI35&amp;J_sub_cls&amp;label_azure&amp;j_sub_opn&amp;label_style&amp;j_sep&amp;BL35&amp;j_nxt&amp;label_degree&amp;J_sep_num&amp;BM35&amp;j_nxt_num&amp;label_pause&amp;J_sep_num&amp;BN35&amp;j_nxt_num&amp;label_pitch&amp;J_sep_num&amp;BO35&amp;j_nxt_num&amp;label_rate&amp;J_sep_num&amp;BP35&amp;j_nxt_num&amp;label_volume&amp;J_sep_num&amp;BQ35&amp;j_sub_cls_num&amp;label_emotion&amp;j_sub_opn&amp;label_sad&amp;J_sep_num&amp;BS35&amp;j_nxt_num&amp;label_joy&amp;J_sep_num&amp;BT35&amp;j_nxt_num&amp;label_fear&amp;J_sep_num&amp;BU35&amp;j_nxt_num&amp;label_disgust&amp;J_sep_num&amp;BV35&amp;j_nxt_num&amp;label_anger&amp;J_sep_num&amp;BW35&amp;j_sub_cls_num&amp;label_sg&amp;j_sub_opn&amp;label_mood&amp;j_sep&amp;BY35&amp;j_nxt&amp;label_scale&amp;J_sep_num&amp;BZ35&amp;j_end_num)</f>
        <v>{"id":"32","name":"we_discussed_this","type":"meat","channel":"say","role":"mask","text":"Your [prosody pitch=30 rate=-20] dream [/prosody] diary. We discussed this last time. [prosody rate=-15] Dont you [prosody pitch=8]remember[/prosody][/prosody]?","gpt_emotion":"","gpt_tone":"","animate":{"pre":"","post":"","next_state":""},"azure":{"style":"Hopeful","degree":0.3,"pause":250,"pitch":0,"rate":3,"volume":0},"emotion":{"sadness":0,"joy":0.3,"fear":0,"disgust":0,"anger":0},"sgcom":{"mood":"positive","scale":-1}}</v>
      </c>
      <c r="Q35" s="37" t="str">
        <f t="shared" si="8"/>
        <v>{"id":"32","name":"we_discussed_this","type":"meat","channel":"say","role":"mask","text":"Your [prosody pitch=30 rate=-20] dream [/prosody] diary. We discussed this last time. [prosody rate=-15] Dont you [prosody pitch=8]remember[/prosody][/prosody]?","gpt_emotion":"","gpt_tone":"","animate":{"pre":"","post":"","next_state":""},"azure":{"style":"Hopeful","degree":0.3,"pause":250,"pitch":0,"rate":3,"volume":0},"emotion":{"sadness":0,"joy":0.3,"fear":0,"disgust":0,"anger":0},"sgcom":{"mood":"positive","scale":-1}}</v>
      </c>
      <c r="R35" s="141"/>
      <c r="S35" s="148" t="str">
        <f t="shared" si="9"/>
        <v>mask_spoke</v>
      </c>
      <c r="T35" s="137" t="str">
        <f t="shared" si="10"/>
        <v>{"words-in" : { "entity" : "Eliza"} }</v>
      </c>
      <c r="U35" s="45"/>
      <c r="V35" s="35" t="str">
        <f>IF(OR(P35="",Y35=""),"",osc_exe_npmosc&amp;" --host "&amp;osc_ip&amp;":"&amp;osc_port_control&amp;" "&amp; osc_channel_meat_stub &amp; "  " &amp; j_qot &amp;X35 &amp; j_qot)</f>
        <v>/opt/homebrew/bin/osc --host 10.10.10.10:5918 /meat  "{#Qid#Q:#Q32#Q#C#Qname#Q:#Qwe_discussed_this#Q#C#Qtype#Q:#Qmeat#Q#C#Qchannel#Q:#Qsay#Q#C#Qrole#Q:#Qmask#Q#C#Qtext#Q:#QYour#S[prosody#Spitch=30#Srate=-20]#Sdream#S[/prosody]#Sdiary.#SWe#Sdiscussed#Sthis#Slast#Stime.#S[prosody#Srate=-15]#SDont#Syou#S[prosody#Spitch=8]remember[/prosody][/prosody]?#Q#C#Qgpt_emotion#Q:#Q#Q#C#Qgpt_tone#Q:#Q#Q#C#Qanimate#Q:{#Qpre#Q:#Q#Q#C#Qpost#Q:#Q#Q#C#Qnext_state#Q:#Q#Q}#C#Qazure#Q:{#Qstyle#Q:#QHopeful#Q#C#Qdegree#Q:0.3#C#Qpause#Q:250#C#Qpitch#Q:0#C#Qrate#Q:3#C#Qvolume#Q:0}#C#Qemotion#Q:{#Qsadness#Q:0#C#Qjoy#Q:0.3#C#Qfear#Q:0#C#Qdisgust#Q:0#C#Qanger#Q:0}#C#Qsgcom#Q:{#Qmood#Q:#Qpositive#Q#C#Qscale#Q:-1}}"</v>
      </c>
      <c r="W35" s="36" t="str">
        <f t="shared" si="30"/>
        <v>/opt/homebrew/bin/sendosc 10.10.10.10 5918 say s {\"id\":\"32\",\"name\":\"we_discussed_this\",\"type\":\"meat\",\"channel\":\"say\",\"role\":\"mask\",\"text\":\"Your\ [prosody\ pitch=30\ rate=-20]\ dream\ [/prosody]\ diary.\ We\ discussed\ this\ last\ time.\ [prosody\ rate=-15]\ Dont\ you\ [prosody\ pitch=8]remember[/prosody][/prosody]\?\",\"gpt_emotion\":\"\",\"gpt_tone\":\"\",\"animate\":{\"pre\":\"\",\"post\":\"\",\"next_state\":\"\"\},\"azure\":{\"style\":\"Hopeful\",\"degree\":0.3,\"pause\":250,\"pitch\":0,\"rate\":3,\"volume\":0\},\"emotion\":{\"sadness\":0,\"joy\":0.3,\"fear\":0,\"disgust\":0,\"anger\":0\},\"sgcom\":{\"mood\":\"positive\",\"scale\":-1\}\}</v>
      </c>
      <c r="X35" s="36" t="str">
        <f t="shared" si="29"/>
        <v>{#Qid#Q:#Q32#Q#C#Qname#Q:#Qwe_discussed_this#Q#C#Qtype#Q:#Qmeat#Q#C#Qchannel#Q:#Qsay#Q#C#Qrole#Q:#Qmask#Q#C#Qtext#Q:#QYour#S[prosody#Spitch=30#Srate=-20]#Sdream#S[/prosody]#Sdiary.#SWe#Sdiscussed#Sthis#Slast#Stime.#S[prosody#Srate=-15]#SDont#Syou#S[prosody#Spitch=8]remember[/prosody][/prosody]?#Q#C#Qgpt_emotion#Q:#Q#Q#C#Qgpt_tone#Q:#Q#Q#C#Qanimate#Q:{#Qpre#Q:#Q#Q#C#Qpost#Q:#Q#Q#C#Qnext_state#Q:#Q#Q}#C#Qazure#Q:{#Qstyle#Q:#QHopeful#Q#C#Qdegree#Q:0.3#C#Qpause#Q:250#C#Qpitch#Q:0#C#Qrate#Q:3#C#Qvolume#Q:0}#C#Qemotion#Q:{#Qsadness#Q:0#C#Qjoy#Q:0.3#C#Qfear#Q:0#C#Qdisgust#Q:0#C#Qanger#Q:0}#C#Qsgcom#Q:{#Qmood#Q:#Qpositive#Q#C#Qscale#Q:-1}}</v>
      </c>
      <c r="Y35" s="40" t="s">
        <v>102</v>
      </c>
      <c r="Z35" s="36" t="str">
        <f t="shared" si="11"/>
        <v>say</v>
      </c>
      <c r="AA35" s="36"/>
      <c r="AB35" s="36" t="str" cm="1">
        <f t="array" ref="AB35">IF(C35="observe",channel_av_observe,"") &amp; IF(C35="register",channel_av_register,"")  &amp; IF(C35="listen",channel_av_listen,"")</f>
        <v/>
      </c>
      <c r="AC35" s="36" t="str">
        <f t="shared" si="12"/>
        <v/>
      </c>
      <c r="AD35" s="36" t="str">
        <f t="shared" si="13"/>
        <v/>
      </c>
      <c r="AE35" s="42" t="s">
        <v>103</v>
      </c>
      <c r="AF35" s="37" t="s">
        <v>147</v>
      </c>
      <c r="AG35" s="37"/>
      <c r="AH35" s="37" t="s">
        <v>148</v>
      </c>
      <c r="AI35" s="37"/>
      <c r="AJ35" s="114">
        <f>A35</f>
        <v>32</v>
      </c>
      <c r="AK35" s="56" t="str">
        <f>IF(AH35="","",TEXT(SUBSTITUTE(AJ35," ","_"),"000") &amp; "_" &amp; AH35)</f>
        <v>032_we_discussed_this</v>
      </c>
      <c r="AL35" s="37"/>
      <c r="AM35" s="133"/>
      <c r="AN35" s="37"/>
      <c r="AO35" s="37"/>
      <c r="AP35" s="37"/>
      <c r="AQ35" s="37"/>
      <c r="AR35" s="37"/>
      <c r="AS35" s="37"/>
      <c r="AT35" s="37"/>
      <c r="AU35" s="37"/>
      <c r="AV35" s="37"/>
      <c r="AW35" s="37"/>
      <c r="AX35" s="37"/>
      <c r="AY35" s="37"/>
      <c r="AZ35" s="37"/>
      <c r="BA35" s="37"/>
      <c r="BB35" s="37"/>
      <c r="BC35" s="41"/>
      <c r="BD35" s="42"/>
      <c r="BE35" s="42"/>
      <c r="BF35" s="41"/>
      <c r="BG35" s="108"/>
      <c r="BH35" s="108"/>
      <c r="BI35" s="108"/>
      <c r="BJ35" s="110"/>
      <c r="BK35" s="41"/>
      <c r="BL35" s="42" t="s">
        <v>149</v>
      </c>
      <c r="BM35" s="35" t="s">
        <v>115</v>
      </c>
      <c r="BN35" s="35">
        <v>250</v>
      </c>
      <c r="BO35" s="35">
        <v>0</v>
      </c>
      <c r="BP35" s="35">
        <v>3</v>
      </c>
      <c r="BQ35" s="35">
        <v>0</v>
      </c>
      <c r="BR35" s="41"/>
      <c r="BS35" s="35">
        <v>0</v>
      </c>
      <c r="BT35" s="35" t="s">
        <v>115</v>
      </c>
      <c r="BU35" s="35">
        <v>0</v>
      </c>
      <c r="BV35" s="35">
        <v>0</v>
      </c>
      <c r="BW35" s="35">
        <v>0</v>
      </c>
      <c r="BX35" s="41"/>
      <c r="BY35" s="34" t="s">
        <v>108</v>
      </c>
      <c r="BZ35" s="43">
        <v>-1</v>
      </c>
      <c r="CA35" s="43">
        <v>-1</v>
      </c>
      <c r="CB35" s="158" t="str">
        <f t="shared" si="44"/>
        <v>{"azure":{"style":"Hopeful","degree":0.3,"pause":250,"pitch":0,"rate":3,"volume":0},"emotion":{"sadness":0,"joy":0.3,"fear":0,"disgust":0,"anger":0},"sgcom":{"mood":"positive","scale":-1}}</v>
      </c>
      <c r="AOE35" s="28"/>
    </row>
    <row r="36" spans="1:80 1071:1071" s="27" customFormat="1">
      <c r="A36" s="32">
        <f t="shared" si="15"/>
        <v>33</v>
      </c>
      <c r="B36" s="32"/>
      <c r="C36" s="32" t="s">
        <v>109</v>
      </c>
      <c r="D36" s="32"/>
      <c r="E36" s="34" t="s">
        <v>110</v>
      </c>
      <c r="F36" s="34" t="str">
        <f t="shared" si="46"/>
        <v/>
      </c>
      <c r="G36" s="34" t="str">
        <f t="shared" si="0"/>
        <v>unmute</v>
      </c>
      <c r="H36" s="116" t="str">
        <f t="shared" si="1"/>
        <v>{"av-command": "stt-control", "data": {"listening": true}}</v>
      </c>
      <c r="I36" s="36" t="str">
        <f t="shared" si="2"/>
        <v/>
      </c>
      <c r="J36" s="36" t="str">
        <f t="shared" si="3"/>
        <v/>
      </c>
      <c r="K36" s="116" t="str">
        <f t="shared" si="27"/>
        <v/>
      </c>
      <c r="L36" s="36"/>
      <c r="M36" s="136" t="str">
        <f t="shared" si="45"/>
        <v>mute</v>
      </c>
      <c r="N36" s="116" t="str">
        <f t="shared" si="6"/>
        <v>{ "command": "mute", "entity": "Eliza", "data" : null}</v>
      </c>
      <c r="O36" s="129" t="str">
        <f t="shared" si="7"/>
        <v>{ "command": "mute", "entity": "Eliza", "data" : null}</v>
      </c>
      <c r="P36" s="81"/>
      <c r="Q36" s="37" t="str">
        <f t="shared" si="8"/>
        <v/>
      </c>
      <c r="R36" s="141"/>
      <c r="S36" s="148" t="str">
        <f t="shared" si="9"/>
        <v>user_spoke</v>
      </c>
      <c r="T36" s="137" t="str">
        <f t="shared" si="10"/>
        <v>{"words-in" : { "entity" : "user"} }</v>
      </c>
      <c r="U36" s="45"/>
      <c r="V36" s="35" t="str">
        <f>IF(OR(P36="",Y36=""),"",osc_exe_npmosc&amp;" --host "&amp;osc_ip&amp;":"&amp;osc_port_control&amp;" "&amp;Z36&amp; "  " &amp; j_qot &amp;X36 &amp; j_qot)</f>
        <v/>
      </c>
      <c r="W36" s="36" t="str">
        <f t="shared" si="30"/>
        <v/>
      </c>
      <c r="X36" s="36" t="str">
        <f t="shared" si="29"/>
        <v/>
      </c>
      <c r="Y36" s="34"/>
      <c r="Z36" s="36" t="str">
        <f t="shared" ref="Z36:Z67" si="47">IF(Y36&lt;&gt;"x","",IF(OR(C36="speak",C36="speak_gpt",C36="screen_azurevoice"),osc_channel_meat_say,IF(C36="play",osc_channel_meat_play,IF(C36="faketomask",osc_channel_meat_fake,IF(C36="state",osc_channel_meat_state,"")))))</f>
        <v/>
      </c>
      <c r="AA36" s="36"/>
      <c r="AB36" s="36" t="str" cm="1">
        <f t="array" ref="AB36">IF(C36="observe",channel_av_observe,"") &amp; IF(C36="register",channel_av_register,"")  &amp; IF(C36="listen",channel_av_listen,"")</f>
        <v>/listen</v>
      </c>
      <c r="AC36" s="36" t="str">
        <f t="shared" si="12"/>
        <v/>
      </c>
      <c r="AD36" s="36" t="str">
        <f t="shared" si="13"/>
        <v/>
      </c>
      <c r="AE36" s="42"/>
      <c r="AF36" s="46" t="s">
        <v>150</v>
      </c>
      <c r="AG36" s="46"/>
      <c r="AH36" s="47"/>
      <c r="AI36" s="47"/>
      <c r="AJ36" s="47"/>
      <c r="AK36" s="56" t="str">
        <f t="shared" si="14"/>
        <v/>
      </c>
      <c r="AL36" s="47"/>
      <c r="AM36" s="133"/>
      <c r="AN36" s="47"/>
      <c r="AO36" s="47"/>
      <c r="AP36" s="47"/>
      <c r="AQ36" s="47"/>
      <c r="AR36" s="47"/>
      <c r="AS36" s="47"/>
      <c r="AT36" s="47"/>
      <c r="AU36" s="47"/>
      <c r="AV36" s="47"/>
      <c r="AW36" s="47"/>
      <c r="AX36" s="47"/>
      <c r="AY36" s="47"/>
      <c r="AZ36" s="47"/>
      <c r="BA36" s="47"/>
      <c r="BB36" s="47"/>
      <c r="BC36" s="48"/>
      <c r="BD36" s="42"/>
      <c r="BE36" s="35"/>
      <c r="BF36" s="48"/>
      <c r="BG36" s="108"/>
      <c r="BH36" s="108"/>
      <c r="BI36" s="108" t="s">
        <v>77</v>
      </c>
      <c r="BJ36" s="110"/>
      <c r="BK36" s="48"/>
      <c r="BL36" s="47"/>
      <c r="BM36" s="35"/>
      <c r="BN36" s="35"/>
      <c r="BO36" s="35"/>
      <c r="BP36" s="35"/>
      <c r="BQ36" s="35"/>
      <c r="BR36" s="48"/>
      <c r="BS36" s="35"/>
      <c r="BT36" s="35"/>
      <c r="BU36" s="35"/>
      <c r="BV36" s="35"/>
      <c r="BW36" s="35"/>
      <c r="BX36" s="48"/>
      <c r="BY36" s="34"/>
      <c r="BZ36" s="43"/>
      <c r="CA36" s="43"/>
      <c r="CB36" s="158" t="str">
        <f t="shared" si="44"/>
        <v/>
      </c>
      <c r="AOE36" s="28"/>
    </row>
    <row r="37" spans="1:80 1071:1071" s="27" customFormat="1">
      <c r="A37" s="32">
        <f t="shared" si="15"/>
        <v>34</v>
      </c>
      <c r="B37" s="32"/>
      <c r="C37" s="32" t="s">
        <v>100</v>
      </c>
      <c r="D37" s="32"/>
      <c r="E37" s="34" t="s">
        <v>101</v>
      </c>
      <c r="F37" s="34" t="str">
        <f t="shared" si="46"/>
        <v/>
      </c>
      <c r="G37" s="34" t="str">
        <f t="shared" si="0"/>
        <v>mute</v>
      </c>
      <c r="H37" s="116" t="str">
        <f t="shared" si="1"/>
        <v>{"av-command": "stt-control", "data": {"listening": false}}</v>
      </c>
      <c r="I37" s="36" t="str">
        <f t="shared" si="2"/>
        <v/>
      </c>
      <c r="J37" s="36" t="str">
        <f t="shared" si="3"/>
        <v/>
      </c>
      <c r="K37" s="116" t="str">
        <f t="shared" si="27"/>
        <v/>
      </c>
      <c r="L37" s="36"/>
      <c r="M37" s="136" t="str">
        <f t="shared" si="45"/>
        <v>speak</v>
      </c>
      <c r="N37" s="116" t="str">
        <f t="shared" si="6"/>
        <v>{ "command": "speak", "entity": "Eliza", "data" : { "text" : "%text"}}</v>
      </c>
      <c r="O37" s="129" t="str">
        <f t="shared" si="7"/>
        <v>{ "command": "speak", "entity": "Eliza", "data" : { "text" : "Then tell me about a recent dream you had."}}</v>
      </c>
      <c r="P37" s="37" t="str">
        <f>IF(Y37&lt;&gt;"x","",j_opn&amp;"id"&amp;j_sep&amp;A37 &amp; j_nxt&amp;label_deepfake_name &amp; j_sep &amp; AH37 &amp; j_nxt&amp; "type" &amp; j_sep &amp; label_meat &amp; j_nxt&amp; "channel" &amp;j_sep&amp;Z37&amp;j_nxt&amp;label_role&amp;j_sep&amp;AE37&amp;j_nxt&amp;label_text&amp;j_sep&amp;AF37&amp;j_nxt&amp;label_gpt_emo&amp;j_sep&amp;BD37&amp;j_nxt&amp;label_gpt_tone&amp;j_sep&amp;BE37&amp;j_nxt&amp;label_animate&amp;j_sub_opn&amp;label_pre&amp;j_sep&amp;IF(do_anim=FALSE,"",BG37)&amp;j_nxt&amp;label_post&amp;j_sep&amp;IF(do_anim="","",BH37)&amp;j_nxt&amp;label_next_state&amp;j_sep&amp;BI37&amp;J_sub_cls&amp;label_azure&amp;j_sub_opn&amp;label_style&amp;j_sep&amp;BL37&amp;j_nxt&amp;label_degree&amp;J_sep_num&amp;BM37&amp;j_nxt_num&amp;label_pause&amp;J_sep_num&amp;BN37&amp;j_nxt_num&amp;label_pitch&amp;J_sep_num&amp;BO37&amp;j_nxt_num&amp;label_rate&amp;J_sep_num&amp;BP37&amp;j_nxt_num&amp;label_volume&amp;J_sep_num&amp;BQ37&amp;j_sub_cls_num&amp;label_emotion&amp;j_sub_opn&amp;label_sad&amp;J_sep_num&amp;BS37&amp;j_nxt_num&amp;label_joy&amp;J_sep_num&amp;BT37&amp;j_nxt_num&amp;label_fear&amp;J_sep_num&amp;BU37&amp;j_nxt_num&amp;label_disgust&amp;J_sep_num&amp;BV37&amp;j_nxt_num&amp;label_anger&amp;J_sep_num&amp;BW37&amp;j_sub_cls_num&amp;label_sg&amp;j_sub_opn&amp;label_mood&amp;j_sep&amp;BY37&amp;j_nxt&amp;label_scale&amp;J_sep_num&amp;BZ37&amp;j_end_num)</f>
        <v>{"id":"34","name":"recent_dream","type":"meat","channel":"say","role":"mask","text":"Then tell me about a recent dream you had.","gpt_emotion":"","gpt_tone":"","animate":{"pre":"eyeroll","post":"","next_state":""},"azure":{"style":"Unfriendly","degree":0.3,"pause":0,"pitch":0,"rate":-8,"volume":0},"emotion":{"sadness":0,"joy":0.2,"fear":0,"disgust":0,"anger":0},"sgcom":{"mood":"neutral","scale":-1}}</v>
      </c>
      <c r="Q37" s="37" t="str">
        <f t="shared" si="8"/>
        <v>{"id":"34","name":"recent_dream","type":"meat","channel":"say","role":"mask","text":"Then tell me about a recent dream you had.","gpt_emotion":"","gpt_tone":"","animate":{"pre":"eyeroll","post":"","next_state":""},"azure":{"style":"Unfriendly","degree":0.3,"pause":0,"pitch":0,"rate":-8,"volume":0},"emotion":{"sadness":0,"joy":0.2,"fear":0,"disgust":0,"anger":0},"sgcom":{"mood":"neutral","scale":-1}}</v>
      </c>
      <c r="R37" s="141"/>
      <c r="S37" s="148" t="str">
        <f t="shared" si="9"/>
        <v>mask_spoke</v>
      </c>
      <c r="T37" s="137" t="str">
        <f t="shared" si="10"/>
        <v>{"words-in" : { "entity" : "Eliza"} }</v>
      </c>
      <c r="U37" s="45"/>
      <c r="V37" s="35" t="str">
        <f>IF(OR(P37="",Y37=""),"",osc_exe_npmosc&amp;" --host "&amp;osc_ip&amp;":"&amp;osc_port_control&amp;" "&amp; osc_channel_meat_stub &amp; "  " &amp; j_qot &amp;X37 &amp; j_qot)</f>
        <v>/opt/homebrew/bin/osc --host 10.10.10.10:5918 /meat  "{#Qid#Q:#Q34#Q#C#Qname#Q:#Qrecent_dream#Q#C#Qtype#Q:#Qmeat#Q#C#Qchannel#Q:#Qsay#Q#C#Qrole#Q:#Qmask#Q#C#Qtext#Q:#QThen#Stell#Sme#Sabout#Sa#Srecent#Sdream#Syou#Shad.#Q#C#Qgpt_emotion#Q:#Q#Q#C#Qgpt_tone#Q:#Q#Q#C#Qanimate#Q:{#Qpre#Q:#Qeyeroll#Q#C#Qpost#Q:#Q#Q#C#Qnext_state#Q:#Q#Q}#C#Qazure#Q:{#Qstyle#Q:#QUnfriendly#Q#C#Qdegree#Q:0.3#C#Qpause#Q:0#C#Qpitch#Q:0#C#Qrate#Q:-8#C#Qvolume#Q:0}#C#Qemotion#Q:{#Qsadness#Q:0#C#Qjoy#Q:0.2#C#Qfear#Q:0#C#Qdisgust#Q:0#C#Qanger#Q:0}#C#Qsgcom#Q:{#Qmood#Q:#Qneutral#Q#C#Qscale#Q:-1}}"</v>
      </c>
      <c r="W37" s="36" t="str">
        <f t="shared" si="30"/>
        <v>/opt/homebrew/bin/sendosc 10.10.10.10 5918 say s {\"id\":\"34\",\"name\":\"recent_dream\",\"type\":\"meat\",\"channel\":\"say\",\"role\":\"mask\",\"text\":\"Then\ tell\ me\ about\ a\ recent\ dream\ you\ had.\",\"gpt_emotion\":\"\",\"gpt_tone\":\"\",\"animate\":{\"pre\":\"eyeroll\",\"post\":\"\",\"next_state\":\"\"\},\"azure\":{\"style\":\"Unfriendly\",\"degree\":0.3,\"pause\":0,\"pitch\":0,\"rate\":-8,\"volume\":0\},\"emotion\":{\"sadness\":0,\"joy\":0.2,\"fear\":0,\"disgust\":0,\"anger\":0\},\"sgcom\":{\"mood\":\"neutral\",\"scale\":-1\}\}</v>
      </c>
      <c r="X37" s="36" t="str">
        <f t="shared" si="29"/>
        <v>{#Qid#Q:#Q34#Q#C#Qname#Q:#Qrecent_dream#Q#C#Qtype#Q:#Qmeat#Q#C#Qchannel#Q:#Qsay#Q#C#Qrole#Q:#Qmask#Q#C#Qtext#Q:#QThen#Stell#Sme#Sabout#Sa#Srecent#Sdream#Syou#Shad.#Q#C#Qgpt_emotion#Q:#Q#Q#C#Qgpt_tone#Q:#Q#Q#C#Qanimate#Q:{#Qpre#Q:#Qeyeroll#Q#C#Qpost#Q:#Q#Q#C#Qnext_state#Q:#Q#Q}#C#Qazure#Q:{#Qstyle#Q:#QUnfriendly#Q#C#Qdegree#Q:0.3#C#Qpause#Q:0#C#Qpitch#Q:0#C#Qrate#Q:-8#C#Qvolume#Q:0}#C#Qemotion#Q:{#Qsadness#Q:0#C#Qjoy#Q:0.2#C#Qfear#Q:0#C#Qdisgust#Q:0#C#Qanger#Q:0}#C#Qsgcom#Q:{#Qmood#Q:#Qneutral#Q#C#Qscale#Q:-1}}</v>
      </c>
      <c r="Y37" s="40" t="s">
        <v>102</v>
      </c>
      <c r="Z37" s="36" t="str">
        <f t="shared" si="47"/>
        <v>say</v>
      </c>
      <c r="AA37" s="36"/>
      <c r="AB37" s="36" t="str" cm="1">
        <f t="array" ref="AB37">IF(C37="observe",channel_av_observe,"") &amp; IF(C37="register",channel_av_register,"")  &amp; IF(C37="listen",channel_av_listen,"")</f>
        <v/>
      </c>
      <c r="AC37" s="36" t="str">
        <f t="shared" si="12"/>
        <v/>
      </c>
      <c r="AD37" s="36" t="str">
        <f t="shared" si="13"/>
        <v/>
      </c>
      <c r="AE37" s="42" t="s">
        <v>103</v>
      </c>
      <c r="AF37" s="37" t="s">
        <v>151</v>
      </c>
      <c r="AG37" s="37"/>
      <c r="AH37" s="37" t="s">
        <v>152</v>
      </c>
      <c r="AI37" s="37"/>
      <c r="AJ37" s="114">
        <f>A37</f>
        <v>34</v>
      </c>
      <c r="AK37" s="56" t="str">
        <f>IF(AH37="","",TEXT(SUBSTITUTE(AJ37," ","_"),"000") &amp; "_" &amp; AH37)</f>
        <v>034_recent_dream</v>
      </c>
      <c r="AL37" s="37"/>
      <c r="AM37" s="133"/>
      <c r="AN37" s="37"/>
      <c r="AO37" s="37"/>
      <c r="AP37" s="37"/>
      <c r="AQ37" s="37"/>
      <c r="AR37" s="37"/>
      <c r="AS37" s="37"/>
      <c r="AT37" s="37"/>
      <c r="AU37" s="37"/>
      <c r="AV37" s="37"/>
      <c r="AW37" s="37"/>
      <c r="AX37" s="37"/>
      <c r="AY37" s="37"/>
      <c r="AZ37" s="37"/>
      <c r="BA37" s="37"/>
      <c r="BB37" s="37"/>
      <c r="BC37" s="41"/>
      <c r="BD37" s="42"/>
      <c r="BE37" s="42"/>
      <c r="BF37" s="41"/>
      <c r="BG37" s="108" t="s">
        <v>153</v>
      </c>
      <c r="BH37" s="104"/>
      <c r="BI37" s="108"/>
      <c r="BJ37" s="110"/>
      <c r="BK37" s="41"/>
      <c r="BL37" s="42" t="s">
        <v>154</v>
      </c>
      <c r="BM37" s="42" t="s">
        <v>115</v>
      </c>
      <c r="BN37" s="35">
        <v>0</v>
      </c>
      <c r="BO37" s="35">
        <v>0</v>
      </c>
      <c r="BP37" s="35">
        <v>-8</v>
      </c>
      <c r="BQ37" s="35">
        <v>0</v>
      </c>
      <c r="BR37" s="41"/>
      <c r="BS37" s="35">
        <v>0</v>
      </c>
      <c r="BT37" s="35" t="s">
        <v>116</v>
      </c>
      <c r="BU37" s="35">
        <v>0</v>
      </c>
      <c r="BV37" s="35">
        <v>0</v>
      </c>
      <c r="BW37" s="35">
        <v>0</v>
      </c>
      <c r="BX37" s="41"/>
      <c r="BY37" s="34" t="s">
        <v>117</v>
      </c>
      <c r="BZ37" s="43">
        <v>-1</v>
      </c>
      <c r="CA37" s="43">
        <v>-1</v>
      </c>
      <c r="CB37" s="158" t="str">
        <f t="shared" si="44"/>
        <v>{"azure":{"style":"Unfriendly","degree":0.3,"pause":0,"pitch":0,"rate":-8,"volume":0},"emotion":{"sadness":0,"joy":0.2,"fear":0,"disgust":0,"anger":0},"sgcom":{"mood":"neutral","scale":-1}}</v>
      </c>
      <c r="AOE37" s="28"/>
    </row>
    <row r="38" spans="1:80 1071:1071" s="27" customFormat="1">
      <c r="A38" s="32">
        <f t="shared" si="15"/>
        <v>35</v>
      </c>
      <c r="B38" s="32"/>
      <c r="C38" s="32" t="s">
        <v>109</v>
      </c>
      <c r="D38" s="32"/>
      <c r="E38" s="34" t="s">
        <v>110</v>
      </c>
      <c r="F38" s="34" t="str">
        <f t="shared" si="46"/>
        <v/>
      </c>
      <c r="G38" s="34" t="str">
        <f t="shared" si="0"/>
        <v>unmute</v>
      </c>
      <c r="H38" s="116" t="str">
        <f t="shared" ref="H38:H79" si="48">IFERROR(LOOKUP(G38, table_observe_commands),"")</f>
        <v>{"av-command": "stt-control", "data": {"listening": true}}</v>
      </c>
      <c r="I38" s="36" t="str">
        <f t="shared" si="2"/>
        <v/>
      </c>
      <c r="J38" s="36" t="str">
        <f t="shared" ref="J38:J79" si="49">IFERROR(LOOKUP(I38, table_td_commands),"")</f>
        <v/>
      </c>
      <c r="K38" s="116" t="str">
        <f t="shared" si="27"/>
        <v/>
      </c>
      <c r="L38" s="36"/>
      <c r="M38" s="136" t="str">
        <f t="shared" si="45"/>
        <v>mute</v>
      </c>
      <c r="N38" s="116" t="str">
        <f t="shared" ref="N38:N79" si="50">IFERROR(LOOKUP(M38, table_bot_commands),"")</f>
        <v>{ "command": "mute", "entity": "Eliza", "data" : null}</v>
      </c>
      <c r="O38" s="129" t="str">
        <f t="shared" ref="O38:O56" si="51">SUBSTITUTE(SUBSTITUTE(N38,"%prompt",""&amp;AG38&amp;""),"%text",AF38)</f>
        <v>{ "command": "mute", "entity": "Eliza", "data" : null}</v>
      </c>
      <c r="P38" s="81"/>
      <c r="Q38" s="37" t="str">
        <f t="shared" ref="Q38:Q69" si="52">IF(AND(C38&lt;&gt;"speak_gpt",C38&lt;&gt;"faketomask"),P38,"") &amp; IF(C38="maketext",j_opn&amp;"id"&amp;j_sep&amp;A38 &amp; j_nxt &amp; "type" &amp; j_sep &amp; label_meat &amp; j_nxt&amp; "channel" &amp;j_sep  &amp; Z38&amp; j_nxt&amp; "state" &amp; j_sep &amp; "think" &amp; j_qot &amp; j_cls,"")</f>
        <v/>
      </c>
      <c r="R38" s="141"/>
      <c r="S38" s="148" t="str">
        <f t="shared" ref="S38:S69" si="53">IF(R38&lt;&gt;"", R38, IF(OR(C38="speak",C38="speak_gpt",C38="play"),trigger_mask_spoke,"") &amp; IF(C38="listen",trigger_user_spoke,"") &amp; IF(C38="maketext","mask_generated","") &amp; IF(C38="screen","clone_spoke","") )</f>
        <v>user_spoke</v>
      </c>
      <c r="T38" s="137" t="str">
        <f t="shared" ref="T38:T69" si="54">IFERROR(LOOKUP(S38,table_triggers),S38)</f>
        <v>{"words-in" : { "entity" : "user"} }</v>
      </c>
      <c r="U38" s="45"/>
      <c r="V38" s="35" t="str">
        <f>IF(OR(P38="",Y38=""),"",osc_exe_npmosc&amp;" --host "&amp;osc_ip&amp;":"&amp;osc_port_control&amp;" "&amp;Z38&amp; "  " &amp; j_qot &amp;X38 &amp; j_qot)</f>
        <v/>
      </c>
      <c r="W38" s="36" t="str">
        <f t="shared" si="30"/>
        <v/>
      </c>
      <c r="X38" s="36" t="str">
        <f t="shared" si="29"/>
        <v/>
      </c>
      <c r="Y38" s="34"/>
      <c r="Z38" s="36" t="str">
        <f t="shared" si="47"/>
        <v/>
      </c>
      <c r="AA38" s="36"/>
      <c r="AB38" s="36" t="str" cm="1">
        <f t="array" ref="AB38">IF(C38="observe",channel_av_observe,"") &amp; IF(C38="register",channel_av_register,"")  &amp; IF(C38="listen",channel_av_listen,"")</f>
        <v>/listen</v>
      </c>
      <c r="AC38" s="36" t="str">
        <f t="shared" ref="AC38:AC69" si="55">IF(C38="mood",channel_td_mood,"") &amp; IF(C38="makefakes_td",channel_td_makefakes,"") &amp; IF(C38="pause",channel_td_pause,"")  &amp; IF(C38="screen",channel_td_screen,"")</f>
        <v/>
      </c>
      <c r="AD38" s="36" t="str">
        <f t="shared" ref="AD38:AD69" si="56">IF(C38="maketext",channel_bw_generate,"")</f>
        <v/>
      </c>
      <c r="AE38" s="42"/>
      <c r="AF38" s="46" t="s">
        <v>155</v>
      </c>
      <c r="AG38" s="46"/>
      <c r="AH38" s="47"/>
      <c r="AI38" s="47"/>
      <c r="AJ38" s="47"/>
      <c r="AK38" s="56" t="str">
        <f t="shared" si="14"/>
        <v/>
      </c>
      <c r="AL38" s="47"/>
      <c r="AM38" s="133"/>
      <c r="AN38" s="47"/>
      <c r="AO38" s="47"/>
      <c r="AP38" s="47"/>
      <c r="AQ38" s="47"/>
      <c r="AR38" s="47"/>
      <c r="AS38" s="47"/>
      <c r="AT38" s="47"/>
      <c r="AU38" s="47"/>
      <c r="AV38" s="47"/>
      <c r="AW38" s="47"/>
      <c r="AX38" s="47"/>
      <c r="AY38" s="47"/>
      <c r="AZ38" s="47"/>
      <c r="BA38" s="47"/>
      <c r="BB38" s="47"/>
      <c r="BC38" s="48"/>
      <c r="BD38" s="42"/>
      <c r="BE38" s="35"/>
      <c r="BF38" s="48"/>
      <c r="BG38" s="108"/>
      <c r="BH38" s="108"/>
      <c r="BI38" s="108" t="s">
        <v>77</v>
      </c>
      <c r="BJ38" s="110"/>
      <c r="BK38" s="48"/>
      <c r="BL38" s="47"/>
      <c r="BM38" s="35"/>
      <c r="BN38" s="35"/>
      <c r="BO38" s="35"/>
      <c r="BP38" s="35"/>
      <c r="BQ38" s="35"/>
      <c r="BR38" s="48"/>
      <c r="BS38" s="35"/>
      <c r="BT38" s="35"/>
      <c r="BU38" s="35"/>
      <c r="BV38" s="35"/>
      <c r="BW38" s="35"/>
      <c r="BX38" s="48"/>
      <c r="BY38" s="34"/>
      <c r="BZ38" s="43"/>
      <c r="CA38" s="43"/>
      <c r="CB38" s="158" t="str">
        <f t="shared" si="44"/>
        <v/>
      </c>
      <c r="AOE38" s="28"/>
    </row>
    <row r="39" spans="1:80 1071:1071" s="27" customFormat="1">
      <c r="A39" s="32">
        <f t="shared" si="15"/>
        <v>36</v>
      </c>
      <c r="B39" s="32"/>
      <c r="C39" s="32" t="s">
        <v>100</v>
      </c>
      <c r="D39" s="32"/>
      <c r="E39" s="34" t="s">
        <v>101</v>
      </c>
      <c r="F39" s="34" t="str">
        <f t="shared" si="46"/>
        <v/>
      </c>
      <c r="G39" s="34" t="str">
        <f t="shared" si="0"/>
        <v>mute</v>
      </c>
      <c r="H39" s="116" t="str">
        <f t="shared" si="48"/>
        <v>{"av-command": "stt-control", "data": {"listening": false}}</v>
      </c>
      <c r="I39" s="36" t="str">
        <f t="shared" si="2"/>
        <v/>
      </c>
      <c r="J39" s="36" t="str">
        <f t="shared" si="49"/>
        <v/>
      </c>
      <c r="K39" s="116" t="str">
        <f t="shared" si="27"/>
        <v/>
      </c>
      <c r="L39" s="36"/>
      <c r="M39" s="136" t="str">
        <f t="shared" si="45"/>
        <v>speak</v>
      </c>
      <c r="N39" s="116" t="str">
        <f t="shared" si="50"/>
        <v>{ "command": "speak", "entity": "Eliza", "data" : { "text" : "%text"}}</v>
      </c>
      <c r="O39" s="129" t="str">
        <f t="shared" si="51"/>
        <v>{ "command": "speak", "entity": "Eliza", "data" : { "text" : "Thank you. That was beautiful. "}}</v>
      </c>
      <c r="P39" s="37" t="str">
        <f>IF(Y39&lt;&gt;"x","",j_opn&amp;"id"&amp;j_sep&amp;A39 &amp; j_nxt&amp;label_deepfake_name &amp; j_sep &amp; AH39 &amp; j_nxt&amp; "type" &amp; j_sep &amp; label_meat &amp; j_nxt&amp; "channel" &amp;j_sep&amp;Z39&amp;j_nxt&amp;label_role&amp;j_sep&amp;AE39&amp;j_nxt&amp;label_text&amp;j_sep&amp;AF39&amp;j_nxt&amp;label_gpt_emo&amp;j_sep&amp;BD39&amp;j_nxt&amp;label_gpt_tone&amp;j_sep&amp;BE39&amp;j_nxt&amp;label_animate&amp;j_sub_opn&amp;label_pre&amp;j_sep&amp;IF(do_anim=FALSE,"",BG39)&amp;j_nxt&amp;label_post&amp;j_sep&amp;IF(do_anim="","",BH39)&amp;j_nxt&amp;label_next_state&amp;j_sep&amp;BI39&amp;J_sub_cls&amp;label_azure&amp;j_sub_opn&amp;label_style&amp;j_sep&amp;BL39&amp;j_nxt&amp;label_degree&amp;J_sep_num&amp;BM39&amp;j_nxt_num&amp;label_pause&amp;J_sep_num&amp;BN39&amp;j_nxt_num&amp;label_pitch&amp;J_sep_num&amp;BO39&amp;j_nxt_num&amp;label_rate&amp;J_sep_num&amp;BP39&amp;j_nxt_num&amp;label_volume&amp;J_sep_num&amp;BQ39&amp;j_sub_cls_num&amp;label_emotion&amp;j_sub_opn&amp;label_sad&amp;J_sep_num&amp;BS39&amp;j_nxt_num&amp;label_joy&amp;J_sep_num&amp;BT39&amp;j_nxt_num&amp;label_fear&amp;J_sep_num&amp;BU39&amp;j_nxt_num&amp;label_disgust&amp;J_sep_num&amp;BV39&amp;j_nxt_num&amp;label_anger&amp;J_sep_num&amp;BW39&amp;j_sub_cls_num&amp;label_sg&amp;j_sub_opn&amp;label_mood&amp;j_sep&amp;BY39&amp;j_nxt&amp;label_scale&amp;J_sep_num&amp;BZ39&amp;j_end_num)</f>
        <v>{"id":"36","name":"beautiful","type":"meat","channel":"say","role":"mask","text":"Thank you. That was beautiful. ","gpt_emotion":"","gpt_tone":"","animate":{"pre":"","post":"","next_state":""},"azure":{"style":"Cheerful","degree":0.6,"pause":0,"pitch":0,"rate":-3,"volume":0},"emotion":{"sadness":0,"joy":1,"fear":0,"disgust":0,"anger":0},"sgcom":{"mood":"positive","scale":-1}}</v>
      </c>
      <c r="Q39" s="37" t="str">
        <f t="shared" si="52"/>
        <v>{"id":"36","name":"beautiful","type":"meat","channel":"say","role":"mask","text":"Thank you. That was beautiful. ","gpt_emotion":"","gpt_tone":"","animate":{"pre":"","post":"","next_state":""},"azure":{"style":"Cheerful","degree":0.6,"pause":0,"pitch":0,"rate":-3,"volume":0},"emotion":{"sadness":0,"joy":1,"fear":0,"disgust":0,"anger":0},"sgcom":{"mood":"positive","scale":-1}}</v>
      </c>
      <c r="R39" s="141"/>
      <c r="S39" s="148" t="str">
        <f t="shared" si="53"/>
        <v>mask_spoke</v>
      </c>
      <c r="T39" s="137" t="str">
        <f t="shared" si="54"/>
        <v>{"words-in" : { "entity" : "Eliza"} }</v>
      </c>
      <c r="U39" s="45"/>
      <c r="V39" s="35" t="str">
        <f>IF(OR(P39="",Y39=""),"",osc_exe_npmosc&amp;" --host "&amp;osc_ip&amp;":"&amp;osc_port_control&amp;" "&amp; osc_channel_meat_stub &amp; "  " &amp; j_qot &amp;X39 &amp; j_qot)</f>
        <v>/opt/homebrew/bin/osc --host 10.10.10.10:5918 /meat  "{#Qid#Q:#Q36#Q#C#Qname#Q:#Qbeautiful#Q#C#Qtype#Q:#Qmeat#Q#C#Qchannel#Q:#Qsay#Q#C#Qrole#Q:#Qmask#Q#C#Qtext#Q:#QThank#Syou.#SThat#Swas#Sbeautiful.#S#Q#C#Qgpt_emotion#Q:#Q#Q#C#Qgpt_tone#Q:#Q#Q#C#Qanimate#Q:{#Qpre#Q:#Q#Q#C#Qpost#Q:#Q#Q#C#Qnext_state#Q:#Q#Q}#C#Qazure#Q:{#Qstyle#Q:#QCheerful#Q#C#Qdegree#Q:0.6#C#Qpause#Q:0#C#Qpitch#Q:0#C#Qrate#Q:-3#C#Qvolume#Q:0}#C#Qemotion#Q:{#Qsadness#Q:0#C#Qjoy#Q:1#C#Qfear#Q:0#C#Qdisgust#Q:0#C#Qanger#Q:0}#C#Qsgcom#Q:{#Qmood#Q:#Qpositive#Q#C#Qscale#Q:-1}}"</v>
      </c>
      <c r="W39" s="36" t="str">
        <f t="shared" si="30"/>
        <v>/opt/homebrew/bin/sendosc 10.10.10.10 5918 say s {\"id\":\"36\",\"name\":\"beautiful\",\"type\":\"meat\",\"channel\":\"say\",\"role\":\"mask\",\"text\":\"Thank\ you.\ That\ was\ beautiful.\ \",\"gpt_emotion\":\"\",\"gpt_tone\":\"\",\"animate\":{\"pre\":\"\",\"post\":\"\",\"next_state\":\"\"\},\"azure\":{\"style\":\"Cheerful\",\"degree\":0.6,\"pause\":0,\"pitch\":0,\"rate\":-3,\"volume\":0\},\"emotion\":{\"sadness\":0,\"joy\":1,\"fear\":0,\"disgust\":0,\"anger\":0\},\"sgcom\":{\"mood\":\"positive\",\"scale\":-1\}\}</v>
      </c>
      <c r="X39" s="36" t="str">
        <f t="shared" si="29"/>
        <v>{#Qid#Q:#Q36#Q#C#Qname#Q:#Qbeautiful#Q#C#Qtype#Q:#Qmeat#Q#C#Qchannel#Q:#Qsay#Q#C#Qrole#Q:#Qmask#Q#C#Qtext#Q:#QThank#Syou.#SThat#Swas#Sbeautiful.#S#Q#C#Qgpt_emotion#Q:#Q#Q#C#Qgpt_tone#Q:#Q#Q#C#Qanimate#Q:{#Qpre#Q:#Q#Q#C#Qpost#Q:#Q#Q#C#Qnext_state#Q:#Q#Q}#C#Qazure#Q:{#Qstyle#Q:#QCheerful#Q#C#Qdegree#Q:0.6#C#Qpause#Q:0#C#Qpitch#Q:0#C#Qrate#Q:-3#C#Qvolume#Q:0}#C#Qemotion#Q:{#Qsadness#Q:0#C#Qjoy#Q:1#C#Qfear#Q:0#C#Qdisgust#Q:0#C#Qanger#Q:0}#C#Qsgcom#Q:{#Qmood#Q:#Qpositive#Q#C#Qscale#Q:-1}}</v>
      </c>
      <c r="Y39" s="40" t="s">
        <v>102</v>
      </c>
      <c r="Z39" s="36" t="str">
        <f t="shared" si="47"/>
        <v>say</v>
      </c>
      <c r="AA39" s="36"/>
      <c r="AB39" s="36" t="str" cm="1">
        <f t="array" ref="AB39">IF(C39="observe",channel_av_observe,"") &amp; IF(C39="register",channel_av_register,"")  &amp; IF(C39="listen",channel_av_listen,"")</f>
        <v/>
      </c>
      <c r="AC39" s="36" t="str">
        <f t="shared" si="55"/>
        <v/>
      </c>
      <c r="AD39" s="36" t="str">
        <f t="shared" si="56"/>
        <v/>
      </c>
      <c r="AE39" s="42" t="s">
        <v>103</v>
      </c>
      <c r="AF39" s="37" t="s">
        <v>156</v>
      </c>
      <c r="AG39" s="37"/>
      <c r="AH39" s="37" t="s">
        <v>157</v>
      </c>
      <c r="AI39" s="37"/>
      <c r="AJ39" s="114">
        <f>A39</f>
        <v>36</v>
      </c>
      <c r="AK39" s="56" t="str">
        <f>IF(AH39="","",TEXT(SUBSTITUTE(AJ39," ","_"),"000") &amp; "_" &amp; AH39)</f>
        <v>036_beautiful</v>
      </c>
      <c r="AL39" s="37"/>
      <c r="AM39" s="133"/>
      <c r="AN39" s="37"/>
      <c r="AO39" s="37"/>
      <c r="AP39" s="37"/>
      <c r="AQ39" s="37"/>
      <c r="AR39" s="37"/>
      <c r="AS39" s="37"/>
      <c r="AT39" s="37"/>
      <c r="AU39" s="37"/>
      <c r="AV39" s="37"/>
      <c r="AW39" s="37"/>
      <c r="AX39" s="37"/>
      <c r="AY39" s="37"/>
      <c r="AZ39" s="37"/>
      <c r="BA39" s="37"/>
      <c r="BB39" s="37"/>
      <c r="BC39" s="41"/>
      <c r="BD39" s="42"/>
      <c r="BE39" s="42"/>
      <c r="BF39" s="41"/>
      <c r="BG39" s="108"/>
      <c r="BH39" s="108"/>
      <c r="BI39" s="108"/>
      <c r="BJ39" s="110"/>
      <c r="BK39" s="41"/>
      <c r="BL39" s="42" t="s">
        <v>158</v>
      </c>
      <c r="BM39" s="35" t="s">
        <v>159</v>
      </c>
      <c r="BN39" s="35">
        <v>0</v>
      </c>
      <c r="BO39" s="35">
        <v>0</v>
      </c>
      <c r="BP39" s="35">
        <v>-3</v>
      </c>
      <c r="BQ39" s="35">
        <v>0</v>
      </c>
      <c r="BR39" s="41"/>
      <c r="BS39" s="35">
        <v>0</v>
      </c>
      <c r="BT39" s="35">
        <v>1</v>
      </c>
      <c r="BU39" s="35">
        <v>0</v>
      </c>
      <c r="BV39" s="35">
        <v>0</v>
      </c>
      <c r="BW39" s="35">
        <v>0</v>
      </c>
      <c r="BX39" s="41"/>
      <c r="BY39" s="34" t="s">
        <v>108</v>
      </c>
      <c r="BZ39" s="43">
        <v>-1</v>
      </c>
      <c r="CA39" s="43">
        <v>-1</v>
      </c>
      <c r="CB39" s="158" t="str">
        <f t="shared" si="44"/>
        <v>{"azure":{"style":"Cheerful","degree":0.6,"pause":0,"pitch":0,"rate":-3,"volume":0},"emotion":{"sadness":0,"joy":1,"fear":0,"disgust":0,"anger":0},"sgcom":{"mood":"positive","scale":-1}}</v>
      </c>
      <c r="AOE39" s="28"/>
    </row>
    <row r="40" spans="1:80 1071:1071" s="27" customFormat="1">
      <c r="A40" s="32">
        <f t="shared" si="15"/>
        <v>37</v>
      </c>
      <c r="B40" s="32"/>
      <c r="C40" s="32" t="s">
        <v>109</v>
      </c>
      <c r="D40" s="32"/>
      <c r="E40" s="34" t="s">
        <v>110</v>
      </c>
      <c r="F40" s="34" t="str">
        <f t="shared" si="46"/>
        <v/>
      </c>
      <c r="G40" s="34" t="str">
        <f t="shared" si="0"/>
        <v>unmute</v>
      </c>
      <c r="H40" s="116" t="str">
        <f t="shared" si="48"/>
        <v>{"av-command": "stt-control", "data": {"listening": true}}</v>
      </c>
      <c r="I40" s="36" t="str">
        <f t="shared" si="2"/>
        <v/>
      </c>
      <c r="J40" s="36" t="str">
        <f t="shared" si="49"/>
        <v/>
      </c>
      <c r="K40" s="116" t="str">
        <f t="shared" si="27"/>
        <v/>
      </c>
      <c r="L40" s="36"/>
      <c r="M40" s="136" t="str">
        <f t="shared" si="45"/>
        <v>mute</v>
      </c>
      <c r="N40" s="116" t="str">
        <f t="shared" si="50"/>
        <v>{ "command": "mute", "entity": "Eliza", "data" : null}</v>
      </c>
      <c r="O40" s="129" t="str">
        <f t="shared" si="51"/>
        <v>{ "command": "mute", "entity": "Eliza", "data" : null}</v>
      </c>
      <c r="P40" s="81"/>
      <c r="Q40" s="37" t="str">
        <f t="shared" si="52"/>
        <v/>
      </c>
      <c r="R40" s="141"/>
      <c r="S40" s="148" t="str">
        <f t="shared" si="53"/>
        <v>user_spoke</v>
      </c>
      <c r="T40" s="137" t="str">
        <f t="shared" si="54"/>
        <v>{"words-in" : { "entity" : "user"} }</v>
      </c>
      <c r="U40" s="45"/>
      <c r="V40" s="35" t="str">
        <f>IF(OR(P40="",Y40=""),"",osc_exe_npmosc&amp;" --host "&amp;osc_ip&amp;":"&amp;osc_port_control&amp;" "&amp;Z40&amp; "  " &amp; j_qot &amp;X40 &amp; j_qot)</f>
        <v/>
      </c>
      <c r="W40" s="36" t="str">
        <f t="shared" si="30"/>
        <v/>
      </c>
      <c r="X40" s="36" t="str">
        <f t="shared" si="29"/>
        <v/>
      </c>
      <c r="Y40" s="34"/>
      <c r="Z40" s="36" t="str">
        <f t="shared" si="47"/>
        <v/>
      </c>
      <c r="AA40" s="36"/>
      <c r="AB40" s="36" t="str" cm="1">
        <f t="array" ref="AB40">IF(C40="observe",channel_av_observe,"") &amp; IF(C40="register",channel_av_register,"")  &amp; IF(C40="listen",channel_av_listen,"")</f>
        <v>/listen</v>
      </c>
      <c r="AC40" s="36" t="str">
        <f t="shared" si="55"/>
        <v/>
      </c>
      <c r="AD40" s="36" t="str">
        <f t="shared" si="56"/>
        <v/>
      </c>
      <c r="AE40" s="42"/>
      <c r="AF40" s="46" t="s">
        <v>160</v>
      </c>
      <c r="AG40" s="46"/>
      <c r="AH40" s="47"/>
      <c r="AI40" s="47"/>
      <c r="AJ40" s="47"/>
      <c r="AK40" s="56" t="str">
        <f t="shared" si="14"/>
        <v/>
      </c>
      <c r="AL40" s="47"/>
      <c r="AM40" s="133"/>
      <c r="AN40" s="47"/>
      <c r="AO40" s="47"/>
      <c r="AP40" s="47"/>
      <c r="AQ40" s="47"/>
      <c r="AR40" s="47"/>
      <c r="AS40" s="47"/>
      <c r="AT40" s="47"/>
      <c r="AU40" s="47"/>
      <c r="AV40" s="47"/>
      <c r="AW40" s="47"/>
      <c r="AX40" s="47"/>
      <c r="AY40" s="47"/>
      <c r="AZ40" s="47"/>
      <c r="BA40" s="47"/>
      <c r="BB40" s="47"/>
      <c r="BC40" s="48"/>
      <c r="BD40" s="42"/>
      <c r="BE40" s="35"/>
      <c r="BF40" s="48"/>
      <c r="BG40" s="108"/>
      <c r="BH40" s="108"/>
      <c r="BI40" s="108"/>
      <c r="BJ40" s="110"/>
      <c r="BK40" s="48"/>
      <c r="BL40" s="47"/>
      <c r="BM40" s="35"/>
      <c r="BN40" s="35"/>
      <c r="BO40" s="35"/>
      <c r="BP40" s="35"/>
      <c r="BQ40" s="35"/>
      <c r="BR40" s="48"/>
      <c r="BS40" s="35"/>
      <c r="BT40" s="35"/>
      <c r="BU40" s="35"/>
      <c r="BV40" s="35"/>
      <c r="BW40" s="35"/>
      <c r="BX40" s="48"/>
      <c r="BY40" s="34"/>
      <c r="BZ40" s="43"/>
      <c r="CA40" s="43"/>
      <c r="CB40" s="158" t="str">
        <f t="shared" si="44"/>
        <v/>
      </c>
      <c r="AOE40" s="28"/>
    </row>
    <row r="41" spans="1:80 1071:1071" s="27" customFormat="1">
      <c r="A41" s="32">
        <f t="shared" si="15"/>
        <v>38</v>
      </c>
      <c r="B41" s="32"/>
      <c r="C41" s="32" t="s">
        <v>100</v>
      </c>
      <c r="D41" s="32"/>
      <c r="E41" s="34" t="s">
        <v>101</v>
      </c>
      <c r="F41" s="34" t="str">
        <f t="shared" si="46"/>
        <v/>
      </c>
      <c r="G41" s="34" t="str">
        <f t="shared" si="0"/>
        <v>mute</v>
      </c>
      <c r="H41" s="116" t="str">
        <f t="shared" si="48"/>
        <v>{"av-command": "stt-control", "data": {"listening": false}}</v>
      </c>
      <c r="I41" s="36" t="str">
        <f t="shared" si="2"/>
        <v/>
      </c>
      <c r="J41" s="36" t="str">
        <f t="shared" si="49"/>
        <v/>
      </c>
      <c r="K41" s="116" t="str">
        <f t="shared" si="27"/>
        <v/>
      </c>
      <c r="L41" s="36"/>
      <c r="M41" s="136" t="str">
        <f t="shared" si="45"/>
        <v>speak</v>
      </c>
      <c r="N41" s="116" t="str">
        <f t="shared" si="50"/>
        <v>{ "command": "speak", "entity": "Eliza", "data" : { "text" : "%text"}}</v>
      </c>
      <c r="O41" s="129" t="str">
        <f t="shared" si="51"/>
        <v>{ "command": "speak", "entity": "Eliza", "data" : { "text" : "How did that dream make you feel?"}}</v>
      </c>
      <c r="P41" s="37" t="str">
        <f>IF(Y41&lt;&gt;"x","",j_opn&amp;"id"&amp;j_sep&amp;A41 &amp; j_nxt&amp;label_deepfake_name &amp; j_sep &amp; AH41 &amp; j_nxt&amp; "type" &amp; j_sep &amp; label_meat &amp; j_nxt&amp; "channel" &amp;j_sep&amp;Z41&amp;j_nxt&amp;label_role&amp;j_sep&amp;AE41&amp;j_nxt&amp;label_text&amp;j_sep&amp;AF41&amp;j_nxt&amp;label_gpt_emo&amp;j_sep&amp;BD41&amp;j_nxt&amp;label_gpt_tone&amp;j_sep&amp;BE41&amp;j_nxt&amp;label_animate&amp;j_sub_opn&amp;label_pre&amp;j_sep&amp;IF(do_anim=FALSE,"",BG41)&amp;j_nxt&amp;label_post&amp;j_sep&amp;IF(do_anim="","",BH41)&amp;j_nxt&amp;label_next_state&amp;j_sep&amp;BI41&amp;J_sub_cls&amp;label_azure&amp;j_sub_opn&amp;label_style&amp;j_sep&amp;BL41&amp;j_nxt&amp;label_degree&amp;J_sep_num&amp;BM41&amp;j_nxt_num&amp;label_pause&amp;J_sep_num&amp;BN41&amp;j_nxt_num&amp;label_pitch&amp;J_sep_num&amp;BO41&amp;j_nxt_num&amp;label_rate&amp;J_sep_num&amp;BP41&amp;j_nxt_num&amp;label_volume&amp;J_sep_num&amp;BQ41&amp;j_sub_cls_num&amp;label_emotion&amp;j_sub_opn&amp;label_sad&amp;J_sep_num&amp;BS41&amp;j_nxt_num&amp;label_joy&amp;J_sep_num&amp;BT41&amp;j_nxt_num&amp;label_fear&amp;J_sep_num&amp;BU41&amp;j_nxt_num&amp;label_disgust&amp;J_sep_num&amp;BV41&amp;j_nxt_num&amp;label_anger&amp;J_sep_num&amp;BW41&amp;j_sub_cls_num&amp;label_sg&amp;j_sub_opn&amp;label_mood&amp;j_sep&amp;BY41&amp;j_nxt&amp;label_scale&amp;J_sep_num&amp;BZ41&amp;j_end_num)</f>
        <v>{"id":"38","name":"make_you_feel","type":"meat","channel":"say","role":"mask","text":"How did that dream make you feel?","gpt_emotion":"","gpt_tone":"","animate":{"pre":"","post":"","next_state":""},"azure":{"style":"Whispering","degree":0.6,"pause":0,"pitch":0,"rate":-10,"volume":0},"emotion":{"sadness":0,"joy":0.2,"fear":0,"disgust":0,"anger":0},"sgcom":{"mood":"","scale":-1}}</v>
      </c>
      <c r="Q41" s="37" t="str">
        <f t="shared" si="52"/>
        <v>{"id":"38","name":"make_you_feel","type":"meat","channel":"say","role":"mask","text":"How did that dream make you feel?","gpt_emotion":"","gpt_tone":"","animate":{"pre":"","post":"","next_state":""},"azure":{"style":"Whispering","degree":0.6,"pause":0,"pitch":0,"rate":-10,"volume":0},"emotion":{"sadness":0,"joy":0.2,"fear":0,"disgust":0,"anger":0},"sgcom":{"mood":"","scale":-1}}</v>
      </c>
      <c r="R41" s="141"/>
      <c r="S41" s="148" t="str">
        <f t="shared" si="53"/>
        <v>mask_spoke</v>
      </c>
      <c r="T41" s="137" t="str">
        <f t="shared" si="54"/>
        <v>{"words-in" : { "entity" : "Eliza"} }</v>
      </c>
      <c r="U41" s="45"/>
      <c r="V41" s="35" t="str">
        <f>IF(OR(P41="",Y41=""),"",osc_exe_npmosc&amp;" --host "&amp;osc_ip&amp;":"&amp;osc_port_control&amp;" "&amp; osc_channel_meat_stub &amp; "  " &amp; j_qot &amp;X41 &amp; j_qot)</f>
        <v>/opt/homebrew/bin/osc --host 10.10.10.10:5918 /meat  "{#Qid#Q:#Q38#Q#C#Qname#Q:#Qmake_you_feel#Q#C#Qtype#Q:#Qmeat#Q#C#Qchannel#Q:#Qsay#Q#C#Qrole#Q:#Qmask#Q#C#Qtext#Q:#QHow#Sdid#Sthat#Sdream#Smake#Syou#Sfeel?#Q#C#Qgpt_emotion#Q:#Q#Q#C#Qgpt_tone#Q:#Q#Q#C#Qanimate#Q:{#Qpre#Q:#Q#Q#C#Qpost#Q:#Q#Q#C#Qnext_state#Q:#Q#Q}#C#Qazure#Q:{#Qstyle#Q:#QWhispering#Q#C#Qdegree#Q:0.6#C#Qpause#Q:0#C#Qpitch#Q:0#C#Qrate#Q:-10#C#Qvolume#Q:0}#C#Qemotion#Q:{#Qsadness#Q:0#C#Qjoy#Q:0.2#C#Qfear#Q:0#C#Qdisgust#Q:0#C#Qanger#Q:0}#C#Qsgcom#Q:{#Qmood#Q:#Q#Q#C#Qscale#Q:-1}}"</v>
      </c>
      <c r="W41" s="36" t="str">
        <f t="shared" si="30"/>
        <v>/opt/homebrew/bin/sendosc 10.10.10.10 5918 say s {\"id\":\"38\",\"name\":\"make_you_feel\",\"type\":\"meat\",\"channel\":\"say\",\"role\":\"mask\",\"text\":\"How\ did\ that\ dream\ make\ you\ feel\?\",\"gpt_emotion\":\"\",\"gpt_tone\":\"\",\"animate\":{\"pre\":\"\",\"post\":\"\",\"next_state\":\"\"\},\"azure\":{\"style\":\"Whispering\",\"degree\":0.6,\"pause\":0,\"pitch\":0,\"rate\":-10,\"volume\":0\},\"emotion\":{\"sadness\":0,\"joy\":0.2,\"fear\":0,\"disgust\":0,\"anger\":0\},\"sgcom\":{\"mood\":\"\",\"scale\":-1\}\}</v>
      </c>
      <c r="X41" s="36" t="str">
        <f t="shared" si="29"/>
        <v>{#Qid#Q:#Q38#Q#C#Qname#Q:#Qmake_you_feel#Q#C#Qtype#Q:#Qmeat#Q#C#Qchannel#Q:#Qsay#Q#C#Qrole#Q:#Qmask#Q#C#Qtext#Q:#QHow#Sdid#Sthat#Sdream#Smake#Syou#Sfeel?#Q#C#Qgpt_emotion#Q:#Q#Q#C#Qgpt_tone#Q:#Q#Q#C#Qanimate#Q:{#Qpre#Q:#Q#Q#C#Qpost#Q:#Q#Q#C#Qnext_state#Q:#Q#Q}#C#Qazure#Q:{#Qstyle#Q:#QWhispering#Q#C#Qdegree#Q:0.6#C#Qpause#Q:0#C#Qpitch#Q:0#C#Qrate#Q:-10#C#Qvolume#Q:0}#C#Qemotion#Q:{#Qsadness#Q:0#C#Qjoy#Q:0.2#C#Qfear#Q:0#C#Qdisgust#Q:0#C#Qanger#Q:0}#C#Qsgcom#Q:{#Qmood#Q:#Q#Q#C#Qscale#Q:-1}}</v>
      </c>
      <c r="Y41" s="40" t="s">
        <v>102</v>
      </c>
      <c r="Z41" s="36" t="str">
        <f t="shared" si="47"/>
        <v>say</v>
      </c>
      <c r="AA41" s="36"/>
      <c r="AB41" s="36" t="str" cm="1">
        <f t="array" ref="AB41">IF(C41="observe",channel_av_observe,"") &amp; IF(C41="register",channel_av_register,"")  &amp; IF(C41="listen",channel_av_listen,"")</f>
        <v/>
      </c>
      <c r="AC41" s="36" t="str">
        <f t="shared" si="55"/>
        <v/>
      </c>
      <c r="AD41" s="36" t="str">
        <f t="shared" si="56"/>
        <v/>
      </c>
      <c r="AE41" s="42" t="s">
        <v>103</v>
      </c>
      <c r="AF41" s="37" t="s">
        <v>161</v>
      </c>
      <c r="AG41" s="37"/>
      <c r="AH41" s="37" t="s">
        <v>162</v>
      </c>
      <c r="AI41" s="37"/>
      <c r="AJ41" s="114">
        <f>A41</f>
        <v>38</v>
      </c>
      <c r="AK41" s="56" t="str">
        <f>IF(AH41="","",TEXT(SUBSTITUTE(AJ41," ","_"),"000") &amp; "_" &amp; AH41)</f>
        <v>038_make_you_feel</v>
      </c>
      <c r="AL41" s="37"/>
      <c r="AM41" s="133"/>
      <c r="AN41" s="37"/>
      <c r="AO41" s="37"/>
      <c r="AP41" s="37"/>
      <c r="AQ41" s="37"/>
      <c r="AR41" s="37"/>
      <c r="AS41" s="37"/>
      <c r="AT41" s="37"/>
      <c r="AU41" s="37"/>
      <c r="AV41" s="37"/>
      <c r="AW41" s="37"/>
      <c r="AX41" s="37"/>
      <c r="AY41" s="37"/>
      <c r="AZ41" s="37"/>
      <c r="BA41" s="37"/>
      <c r="BB41" s="37"/>
      <c r="BC41" s="41"/>
      <c r="BD41" s="42"/>
      <c r="BE41" s="42"/>
      <c r="BF41" s="41"/>
      <c r="BG41" s="108"/>
      <c r="BH41" s="108"/>
      <c r="BI41" s="108"/>
      <c r="BJ41" s="110"/>
      <c r="BK41" s="41"/>
      <c r="BL41" s="42" t="s">
        <v>120</v>
      </c>
      <c r="BM41" s="35" t="s">
        <v>159</v>
      </c>
      <c r="BN41" s="35">
        <v>0</v>
      </c>
      <c r="BO41" s="35">
        <v>0</v>
      </c>
      <c r="BP41" s="35">
        <v>-10</v>
      </c>
      <c r="BQ41" s="35">
        <v>0</v>
      </c>
      <c r="BR41" s="41"/>
      <c r="BS41" s="35">
        <v>0</v>
      </c>
      <c r="BT41" s="35" t="s">
        <v>116</v>
      </c>
      <c r="BU41" s="35">
        <v>0</v>
      </c>
      <c r="BV41" s="35">
        <v>0</v>
      </c>
      <c r="BW41" s="35">
        <v>0</v>
      </c>
      <c r="BX41" s="41"/>
      <c r="BY41" s="34"/>
      <c r="BZ41" s="43">
        <v>-1</v>
      </c>
      <c r="CA41" s="43">
        <v>-1</v>
      </c>
      <c r="CB41" s="158" t="str">
        <f t="shared" si="44"/>
        <v>{"azure":{"style":"Whispering","degree":0.6,"pause":0,"pitch":0,"rate":-10,"volume":0},"emotion":{"sadness":0,"joy":0.2,"fear":0,"disgust":0,"anger":0},"sgcom":{"mood":"","scale":-1}}</v>
      </c>
      <c r="AOE41" s="28"/>
    </row>
    <row r="42" spans="1:80 1071:1071" s="27" customFormat="1">
      <c r="A42" s="32">
        <f t="shared" si="15"/>
        <v>39</v>
      </c>
      <c r="B42" s="32"/>
      <c r="C42" s="32" t="s">
        <v>109</v>
      </c>
      <c r="D42" s="32"/>
      <c r="E42" s="34" t="s">
        <v>110</v>
      </c>
      <c r="F42" s="34" t="str">
        <f t="shared" si="46"/>
        <v/>
      </c>
      <c r="G42" s="34" t="str">
        <f t="shared" si="0"/>
        <v>unmute</v>
      </c>
      <c r="H42" s="116" t="str">
        <f t="shared" si="48"/>
        <v>{"av-command": "stt-control", "data": {"listening": true}}</v>
      </c>
      <c r="I42" s="36" t="str">
        <f t="shared" si="2"/>
        <v/>
      </c>
      <c r="J42" s="36" t="str">
        <f t="shared" si="49"/>
        <v/>
      </c>
      <c r="K42" s="116" t="str">
        <f t="shared" si="27"/>
        <v/>
      </c>
      <c r="L42" s="36"/>
      <c r="M42" s="136" t="str">
        <f t="shared" si="45"/>
        <v>mute</v>
      </c>
      <c r="N42" s="116" t="str">
        <f t="shared" si="50"/>
        <v>{ "command": "mute", "entity": "Eliza", "data" : null}</v>
      </c>
      <c r="O42" s="129" t="str">
        <f t="shared" si="51"/>
        <v>{ "command": "mute", "entity": "Eliza", "data" : null}</v>
      </c>
      <c r="P42" s="81"/>
      <c r="Q42" s="37" t="str">
        <f t="shared" si="52"/>
        <v/>
      </c>
      <c r="R42" s="141"/>
      <c r="S42" s="148" t="str">
        <f t="shared" si="53"/>
        <v>user_spoke</v>
      </c>
      <c r="T42" s="137" t="str">
        <f t="shared" si="54"/>
        <v>{"words-in" : { "entity" : "user"} }</v>
      </c>
      <c r="U42" s="45"/>
      <c r="V42" s="35" t="str">
        <f>IF(OR(P42="",Y42=""),"",osc_exe_npmosc&amp;" --host "&amp;osc_ip&amp;":"&amp;osc_port_control&amp;" "&amp;Z42&amp; "  " &amp; j_qot &amp;X42 &amp; j_qot)</f>
        <v/>
      </c>
      <c r="W42" s="36" t="str">
        <f t="shared" si="30"/>
        <v/>
      </c>
      <c r="X42" s="36" t="str">
        <f t="shared" si="29"/>
        <v/>
      </c>
      <c r="Y42" s="34"/>
      <c r="Z42" s="36" t="str">
        <f t="shared" si="47"/>
        <v/>
      </c>
      <c r="AA42" s="36"/>
      <c r="AB42" s="36" t="str" cm="1">
        <f t="array" ref="AB42">IF(C42="observe",channel_av_observe,"") &amp; IF(C42="register",channel_av_register,"")  &amp; IF(C42="listen",channel_av_listen,"")</f>
        <v>/listen</v>
      </c>
      <c r="AC42" s="36" t="str">
        <f t="shared" si="55"/>
        <v/>
      </c>
      <c r="AD42" s="36" t="str">
        <f t="shared" si="56"/>
        <v/>
      </c>
      <c r="AE42" s="42"/>
      <c r="AF42" s="46" t="s">
        <v>163</v>
      </c>
      <c r="AG42" s="46"/>
      <c r="AH42" s="47"/>
      <c r="AI42" s="47"/>
      <c r="AJ42" s="47"/>
      <c r="AK42" s="56" t="str">
        <f t="shared" si="14"/>
        <v/>
      </c>
      <c r="AL42" s="47"/>
      <c r="AM42" s="133"/>
      <c r="AN42" s="47"/>
      <c r="AO42" s="47"/>
      <c r="AP42" s="47"/>
      <c r="AQ42" s="47"/>
      <c r="AR42" s="47"/>
      <c r="AS42" s="47"/>
      <c r="AT42" s="47"/>
      <c r="AU42" s="47"/>
      <c r="AV42" s="47"/>
      <c r="AW42" s="47"/>
      <c r="AX42" s="47"/>
      <c r="AY42" s="47"/>
      <c r="AZ42" s="47"/>
      <c r="BA42" s="47"/>
      <c r="BB42" s="47"/>
      <c r="BC42" s="48"/>
      <c r="BD42" s="42"/>
      <c r="BE42" s="35"/>
      <c r="BF42" s="48"/>
      <c r="BG42" s="108"/>
      <c r="BH42" s="108"/>
      <c r="BI42" s="108"/>
      <c r="BJ42" s="110"/>
      <c r="BK42" s="48"/>
      <c r="BL42" s="47"/>
      <c r="BM42" s="35"/>
      <c r="BN42" s="35"/>
      <c r="BO42" s="35"/>
      <c r="BP42" s="35"/>
      <c r="BQ42" s="35"/>
      <c r="BR42" s="48"/>
      <c r="BS42" s="35"/>
      <c r="BT42" s="35"/>
      <c r="BU42" s="35"/>
      <c r="BV42" s="35"/>
      <c r="BW42" s="35"/>
      <c r="BX42" s="48"/>
      <c r="BY42" s="34"/>
      <c r="BZ42" s="43"/>
      <c r="CA42" s="43"/>
      <c r="CB42" s="158" t="str">
        <f t="shared" si="44"/>
        <v/>
      </c>
      <c r="AOE42" s="28"/>
    </row>
    <row r="43" spans="1:80 1071:1071" s="27" customFormat="1">
      <c r="A43" s="32">
        <f t="shared" si="15"/>
        <v>40</v>
      </c>
      <c r="B43" s="32"/>
      <c r="C43" s="32" t="s">
        <v>122</v>
      </c>
      <c r="D43" s="32"/>
      <c r="E43" s="34" t="s">
        <v>123</v>
      </c>
      <c r="F43" s="34" t="str">
        <f t="shared" si="46"/>
        <v/>
      </c>
      <c r="G43" s="34" t="str">
        <f t="shared" si="0"/>
        <v>mute</v>
      </c>
      <c r="H43" s="116" t="str">
        <f t="shared" si="48"/>
        <v>{"av-command": "stt-control", "data": {"listening": false}}</v>
      </c>
      <c r="I43" s="36" t="str">
        <f t="shared" si="2"/>
        <v/>
      </c>
      <c r="J43" s="36" t="str">
        <f t="shared" si="49"/>
        <v/>
      </c>
      <c r="K43" s="116" t="str">
        <f t="shared" si="27"/>
        <v/>
      </c>
      <c r="L43" s="36"/>
      <c r="M43" s="136" t="str">
        <f t="shared" si="45"/>
        <v>unmute</v>
      </c>
      <c r="N43" s="116" t="str">
        <f t="shared" si="50"/>
        <v>{ "command": "unmute", "entity": "Eliza", "data" : {"prompt" : "%prompt" }}</v>
      </c>
      <c r="O43" s="129" t="str">
        <f t="shared" si="51"/>
        <v>{ "command": "unmute", "entity": "Eliza", "data" : {"prompt" : "Go Deeper" }}</v>
      </c>
      <c r="P43" s="81"/>
      <c r="Q43" s="37" t="str">
        <f t="shared" si="52"/>
        <v>{"id":"40","type":"meat","channel":"","state":"think"}</v>
      </c>
      <c r="R43" s="141"/>
      <c r="S43" s="148" t="str">
        <f t="shared" si="53"/>
        <v>mask_generated</v>
      </c>
      <c r="T43" s="137" t="str">
        <f t="shared" si="54"/>
        <v>{"words-out" : { "entity" : "Eliza"} }</v>
      </c>
      <c r="U43" s="45"/>
      <c r="V43" s="35" t="str">
        <f>IF(OR(P43="",Y43=""),"",osc_exe_npmosc&amp;" --host "&amp;osc_ip&amp;":"&amp;osc_port_control&amp;" "&amp;Z43&amp; "  " &amp; j_qot &amp;X43 &amp; j_qot)</f>
        <v/>
      </c>
      <c r="W43" s="36" t="str">
        <f t="shared" si="30"/>
        <v/>
      </c>
      <c r="X43" s="36" t="str">
        <f t="shared" si="29"/>
        <v/>
      </c>
      <c r="Y43" s="34"/>
      <c r="Z43" s="36" t="str">
        <f t="shared" si="47"/>
        <v/>
      </c>
      <c r="AA43" s="36"/>
      <c r="AB43" s="36" t="str" cm="1">
        <f t="array" ref="AB43">IF(C43="observe",channel_av_observe,"") &amp; IF(C43="register",channel_av_register,"")  &amp; IF(C43="listen",channel_av_listen,"")</f>
        <v/>
      </c>
      <c r="AC43" s="36" t="str">
        <f t="shared" si="55"/>
        <v/>
      </c>
      <c r="AD43" s="36" t="str">
        <f t="shared" si="56"/>
        <v>/generate</v>
      </c>
      <c r="AE43" s="42"/>
      <c r="AF43" s="49" t="s">
        <v>124</v>
      </c>
      <c r="AG43" s="49" t="s">
        <v>125</v>
      </c>
      <c r="AH43" s="49"/>
      <c r="AI43" s="49"/>
      <c r="AJ43" s="49"/>
      <c r="AK43" s="56" t="str">
        <f t="shared" ref="AK43:AK49" si="57">IF(AH43="","",TEXT(SUBSTITUTE(AJ43," ","_"),"000") &amp; "_" &amp; AH43)</f>
        <v/>
      </c>
      <c r="AL43" s="49"/>
      <c r="AM43" s="133"/>
      <c r="AN43" s="49"/>
      <c r="AO43" s="49"/>
      <c r="AP43" s="49"/>
      <c r="AQ43" s="49"/>
      <c r="AR43" s="49"/>
      <c r="AS43" s="49"/>
      <c r="AT43" s="49"/>
      <c r="AU43" s="49"/>
      <c r="AV43" s="49"/>
      <c r="AW43" s="49"/>
      <c r="AX43" s="49"/>
      <c r="AY43" s="49"/>
      <c r="AZ43" s="49"/>
      <c r="BA43" s="49"/>
      <c r="BB43" s="49"/>
      <c r="BC43" s="50"/>
      <c r="BD43" s="42"/>
      <c r="BE43" s="35"/>
      <c r="BF43" s="50"/>
      <c r="BG43" s="108"/>
      <c r="BH43" s="108"/>
      <c r="BI43" s="108"/>
      <c r="BJ43" s="110"/>
      <c r="BK43" s="50"/>
      <c r="BL43" s="49"/>
      <c r="BM43" s="35"/>
      <c r="BN43" s="35"/>
      <c r="BO43" s="35"/>
      <c r="BP43" s="35"/>
      <c r="BQ43" s="35"/>
      <c r="BR43" s="50"/>
      <c r="BS43" s="35"/>
      <c r="BT43" s="35"/>
      <c r="BU43" s="35"/>
      <c r="BV43" s="35"/>
      <c r="BW43" s="35"/>
      <c r="BX43" s="50"/>
      <c r="BY43" s="34"/>
      <c r="BZ43" s="43"/>
      <c r="CA43" s="43"/>
      <c r="CB43" s="158" t="str">
        <f t="shared" si="44"/>
        <v/>
      </c>
      <c r="AOE43" s="28"/>
    </row>
    <row r="44" spans="1:80 1071:1071" s="27" customFormat="1">
      <c r="A44" s="32">
        <f t="shared" si="15"/>
        <v>41</v>
      </c>
      <c r="B44" s="32"/>
      <c r="C44" s="32" t="s">
        <v>126</v>
      </c>
      <c r="D44" s="32"/>
      <c r="E44" s="34" t="s">
        <v>127</v>
      </c>
      <c r="F44" s="34" t="str">
        <f t="shared" si="46"/>
        <v/>
      </c>
      <c r="G44" s="34" t="str">
        <f t="shared" si="0"/>
        <v/>
      </c>
      <c r="H44" s="116" t="str">
        <f t="shared" si="48"/>
        <v/>
      </c>
      <c r="I44" s="36" t="str">
        <f t="shared" si="2"/>
        <v/>
      </c>
      <c r="J44" s="36" t="str">
        <f t="shared" si="49"/>
        <v/>
      </c>
      <c r="K44" s="116" t="str">
        <f t="shared" si="27"/>
        <v/>
      </c>
      <c r="L44" s="36"/>
      <c r="M44" s="136" t="str">
        <f t="shared" si="45"/>
        <v/>
      </c>
      <c r="N44" s="116" t="str">
        <f t="shared" si="50"/>
        <v/>
      </c>
      <c r="O44" s="129" t="str">
        <f t="shared" si="51"/>
        <v/>
      </c>
      <c r="P44" s="37" t="str">
        <f>IF(Y44&lt;&gt;"x","",j_opn&amp;"id"&amp;j_sep&amp;A44 &amp; j_nxt&amp;label_deepfake_name &amp; j_sep &amp; AH44 &amp; j_nxt&amp; "type" &amp; j_sep &amp; label_meat &amp; j_nxt&amp; "channel" &amp;j_sep&amp;Z44&amp;j_nxt&amp;label_role&amp;j_sep&amp;AE44&amp;j_nxt&amp;label_text&amp;j_sep&amp;AF44&amp;j_nxt&amp;label_gpt_emo&amp;j_sep&amp;BD44&amp;j_nxt&amp;label_gpt_tone&amp;j_sep&amp;BE44&amp;j_nxt&amp;label_animate&amp;j_sub_opn&amp;label_pre&amp;j_sep&amp;IF(do_anim=FALSE,"",BG44)&amp;j_nxt&amp;label_post&amp;j_sep&amp;IF(do_anim="","",BH44)&amp;j_nxt&amp;label_next_state&amp;j_sep&amp;BI44&amp;J_sub_cls&amp;label_azure&amp;j_sub_opn&amp;label_style&amp;j_sep&amp;BL44&amp;j_nxt&amp;label_degree&amp;J_sep_num&amp;BM44&amp;j_nxt_num&amp;label_pause&amp;J_sep_num&amp;BN44&amp;j_nxt_num&amp;label_pitch&amp;J_sep_num&amp;BO44&amp;j_nxt_num&amp;label_rate&amp;J_sep_num&amp;BP44&amp;j_nxt_num&amp;label_volume&amp;J_sep_num&amp;BQ44&amp;j_sub_cls_num&amp;label_emotion&amp;j_sub_opn&amp;label_sad&amp;J_sep_num&amp;BS44&amp;j_nxt_num&amp;label_joy&amp;J_sep_num&amp;BT44&amp;j_nxt_num&amp;label_fear&amp;J_sep_num&amp;BU44&amp;j_nxt_num&amp;label_disgust&amp;J_sep_num&amp;BV44&amp;j_nxt_num&amp;label_anger&amp;J_sep_num&amp;BW44&amp;j_sub_cls_num&amp;label_sg&amp;j_sub_opn&amp;label_mood&amp;j_sep&amp;BY44&amp;j_nxt&amp;label_scale&amp;J_sep_num&amp;BZ44&amp;j_end_num)</f>
        <v>{"id":"41","name":"inquiry 01","type":"meat","channel":"say","role":"mask","text":"Did you have that dream before?","gpt_emotion":"","gpt_tone":"","animate":{"pre":"","post":"","next_state":""},"azure":{"style":"Friendly","degree":0.8,"pause":0,"pitch":0,"rate":0,"volume":0},"emotion":{"sadness":-1,"joy":-1,"fear":-1,"disgust":-1,"anger":-1},"sgcom":{"mood":"","scale":-1}}</v>
      </c>
      <c r="Q44" s="37" t="str">
        <f t="shared" si="52"/>
        <v/>
      </c>
      <c r="R44" s="141"/>
      <c r="S44" s="148" t="str">
        <f t="shared" si="53"/>
        <v>mask_spoke</v>
      </c>
      <c r="T44" s="137" t="str">
        <f t="shared" si="54"/>
        <v>{"words-in" : { "entity" : "Eliza"} }</v>
      </c>
      <c r="U44" s="45"/>
      <c r="V44" s="35" t="str">
        <f>IF(OR(P44="",Y44=""),"",osc_exe_npmosc&amp;" --host "&amp;osc_ip&amp;":"&amp;osc_port_control&amp;" "&amp; osc_channel_meat_stub &amp; "  " &amp; j_qot &amp;X44 &amp; j_qot)</f>
        <v>/opt/homebrew/bin/osc --host 10.10.10.10:5918 /meat  "{#Qid#Q:#Q41#Q#C#Qname#Q:#Qinquiry#S01#Q#C#Qtype#Q:#Qmeat#Q#C#Qchannel#Q:#Qsay#Q#C#Qrole#Q:#Qmask#Q#C#Qtext#Q:#QDid#Syou#Shave#Sthat#Sdream#Sbefore?#Q#C#Qgpt_emotion#Q:#Q#Q#C#Qgpt_tone#Q:#Q#Q#C#Qanimate#Q:{#Qpre#Q:#Q#Q#C#Qpost#Q:#Q#Q#C#Qnext_state#Q:#Q#Q}#C#Qazure#Q:{#Qstyle#Q:#QFriendly#Q#C#Qdegree#Q:0.8#C#Qpause#Q:0#C#Qpitch#Q:0#C#Qrate#Q:0#C#Qvolume#Q:0}#C#Qemotion#Q:{#Qsadness#Q:-1#C#Qjoy#Q:-1#C#Qfear#Q:-1#C#Qdisgust#Q:-1#C#Qanger#Q:-1}#C#Qsgcom#Q:{#Qmood#Q:#Q#Q#C#Qscale#Q:-1}}"</v>
      </c>
      <c r="W44" s="36" t="str">
        <f t="shared" si="30"/>
        <v>/opt/homebrew/bin/sendosc 10.10.10.10 5918 say s {\"id\":\"41\",\"name\":\"inquiry\ 01\",\"type\":\"meat\",\"channel\":\"say\",\"role\":\"mask\",\"text\":\"Did\ you\ have\ that\ dream\ before\?\",\"gpt_emotion\":\"\",\"gpt_tone\":\"\",\"animate\":{\"pre\":\"\",\"post\":\"\",\"next_state\":\"\"\},\"azure\":{\"style\":\"Friendly\",\"degree\":0.8,\"pause\":0,\"pitch\":0,\"rate\":0,\"volume\":0\},\"emotion\":{\"sadness\":-1,\"joy\":-1,\"fear\":-1,\"disgust\":-1,\"anger\":-1\},\"sgcom\":{\"mood\":\"\",\"scale\":-1\}\}</v>
      </c>
      <c r="X44" s="36" t="str">
        <f t="shared" si="29"/>
        <v>{#Qid#Q:#Q41#Q#C#Qname#Q:#Qinquiry#S01#Q#C#Qtype#Q:#Qmeat#Q#C#Qchannel#Q:#Qsay#Q#C#Qrole#Q:#Qmask#Q#C#Qtext#Q:#QDid#Syou#Shave#Sthat#Sdream#Sbefore?#Q#C#Qgpt_emotion#Q:#Q#Q#C#Qgpt_tone#Q:#Q#Q#C#Qanimate#Q:{#Qpre#Q:#Q#Q#C#Qpost#Q:#Q#Q#C#Qnext_state#Q:#Q#Q}#C#Qazure#Q:{#Qstyle#Q:#QFriendly#Q#C#Qdegree#Q:0.8#C#Qpause#Q:0#C#Qpitch#Q:0#C#Qrate#Q:0#C#Qvolume#Q:0}#C#Qemotion#Q:{#Qsadness#Q:-1#C#Qjoy#Q:-1#C#Qfear#Q:-1#C#Qdisgust#Q:-1#C#Qanger#Q:-1}#C#Qsgcom#Q:{#Qmood#Q:#Q#Q#C#Qscale#Q:-1}}</v>
      </c>
      <c r="Y44" s="40" t="s">
        <v>102</v>
      </c>
      <c r="Z44" s="36" t="str">
        <f t="shared" si="47"/>
        <v>say</v>
      </c>
      <c r="AA44" s="36"/>
      <c r="AB44" s="36" t="str" cm="1">
        <f t="array" ref="AB44">IF(C44="observe",channel_av_observe,"") &amp; IF(C44="register",channel_av_register,"")  &amp; IF(C44="listen",channel_av_listen,"")</f>
        <v/>
      </c>
      <c r="AC44" s="36" t="str">
        <f t="shared" si="55"/>
        <v/>
      </c>
      <c r="AD44" s="36" t="str">
        <f t="shared" si="56"/>
        <v/>
      </c>
      <c r="AE44" s="42" t="s">
        <v>103</v>
      </c>
      <c r="AF44" s="51" t="s">
        <v>164</v>
      </c>
      <c r="AG44" s="51"/>
      <c r="AH44" s="49" t="s">
        <v>129</v>
      </c>
      <c r="AI44" s="49"/>
      <c r="AJ44" s="114">
        <f>A44</f>
        <v>41</v>
      </c>
      <c r="AK44" s="56" t="str">
        <f t="shared" si="57"/>
        <v>041_inquiry 01</v>
      </c>
      <c r="AL44" s="49"/>
      <c r="AM44" s="133"/>
      <c r="AN44" s="49"/>
      <c r="AO44" s="49"/>
      <c r="AP44" s="49"/>
      <c r="AQ44" s="49"/>
      <c r="AR44" s="49"/>
      <c r="AS44" s="49"/>
      <c r="AT44" s="49"/>
      <c r="AU44" s="49"/>
      <c r="AV44" s="49"/>
      <c r="AW44" s="49"/>
      <c r="AX44" s="49"/>
      <c r="AY44" s="49"/>
      <c r="AZ44" s="49"/>
      <c r="BA44" s="49"/>
      <c r="BB44" s="49"/>
      <c r="BC44" s="50"/>
      <c r="BD44" s="42"/>
      <c r="BE44" s="42"/>
      <c r="BF44" s="50"/>
      <c r="BG44" s="108"/>
      <c r="BH44" s="108"/>
      <c r="BI44" s="108"/>
      <c r="BJ44" s="110"/>
      <c r="BK44" s="50"/>
      <c r="BL44" s="42" t="s">
        <v>130</v>
      </c>
      <c r="BM44" s="35" t="s">
        <v>131</v>
      </c>
      <c r="BN44" s="35">
        <v>0</v>
      </c>
      <c r="BO44" s="35">
        <v>0</v>
      </c>
      <c r="BP44" s="35">
        <v>0</v>
      </c>
      <c r="BQ44" s="35">
        <v>0</v>
      </c>
      <c r="BR44" s="50"/>
      <c r="BS44" s="35">
        <v>-1</v>
      </c>
      <c r="BT44" s="35">
        <v>-1</v>
      </c>
      <c r="BU44" s="35">
        <v>-1</v>
      </c>
      <c r="BV44" s="35">
        <v>-1</v>
      </c>
      <c r="BW44" s="35">
        <v>-1</v>
      </c>
      <c r="BX44" s="50"/>
      <c r="BY44" s="34"/>
      <c r="BZ44" s="43" t="s">
        <v>165</v>
      </c>
      <c r="CA44" s="43" t="s">
        <v>165</v>
      </c>
      <c r="CB44" s="158" t="str">
        <f t="shared" si="44"/>
        <v>{"azure":{"style":"Friendly","degree":0.8,"pause":0,"pitch":0,"rate":0,"volume":0},"emotion":{"sadness":-1,"joy":-1,"fear":-1,"disgust":-1,"anger":-1},"sgcom":{"mood":"","scale":-1}}</v>
      </c>
      <c r="AOE44" s="28"/>
    </row>
    <row r="45" spans="1:80 1071:1071" s="27" customFormat="1">
      <c r="A45" s="32">
        <f t="shared" si="15"/>
        <v>42</v>
      </c>
      <c r="B45" s="32"/>
      <c r="C45" s="32" t="s">
        <v>109</v>
      </c>
      <c r="D45" s="32"/>
      <c r="E45" s="34" t="s">
        <v>110</v>
      </c>
      <c r="F45" s="34" t="str">
        <f t="shared" si="46"/>
        <v/>
      </c>
      <c r="G45" s="34" t="str">
        <f t="shared" si="0"/>
        <v>unmute</v>
      </c>
      <c r="H45" s="116" t="str">
        <f t="shared" si="48"/>
        <v>{"av-command": "stt-control", "data": {"listening": true}}</v>
      </c>
      <c r="I45" s="36" t="str">
        <f t="shared" si="2"/>
        <v/>
      </c>
      <c r="J45" s="36" t="str">
        <f t="shared" si="49"/>
        <v/>
      </c>
      <c r="K45" s="116" t="str">
        <f t="shared" si="27"/>
        <v/>
      </c>
      <c r="L45" s="36"/>
      <c r="M45" s="136" t="str">
        <f t="shared" si="45"/>
        <v>mute</v>
      </c>
      <c r="N45" s="116" t="str">
        <f t="shared" si="50"/>
        <v>{ "command": "mute", "entity": "Eliza", "data" : null}</v>
      </c>
      <c r="O45" s="129" t="str">
        <f t="shared" si="51"/>
        <v>{ "command": "mute", "entity": "Eliza", "data" : null}</v>
      </c>
      <c r="P45" s="81"/>
      <c r="Q45" s="37" t="str">
        <f t="shared" si="52"/>
        <v/>
      </c>
      <c r="R45" s="141"/>
      <c r="S45" s="148" t="str">
        <f t="shared" si="53"/>
        <v>user_spoke</v>
      </c>
      <c r="T45" s="137" t="str">
        <f t="shared" si="54"/>
        <v>{"words-in" : { "entity" : "user"} }</v>
      </c>
      <c r="U45" s="45"/>
      <c r="V45" s="35" t="str">
        <f>IF(OR(P45="",Y45=""),"",osc_exe_npmosc&amp;" --host "&amp;osc_ip&amp;":"&amp;osc_port_control&amp;" "&amp;Z45&amp; "  " &amp; j_qot &amp;X45 &amp; j_qot)</f>
        <v/>
      </c>
      <c r="W45" s="36" t="str">
        <f t="shared" si="30"/>
        <v/>
      </c>
      <c r="X45" s="36" t="str">
        <f t="shared" si="29"/>
        <v/>
      </c>
      <c r="Y45" s="34"/>
      <c r="Z45" s="36" t="str">
        <f t="shared" si="47"/>
        <v/>
      </c>
      <c r="AA45" s="36"/>
      <c r="AB45" s="36" t="str" cm="1">
        <f t="array" ref="AB45">IF(C45="observe",channel_av_observe,"") &amp; IF(C45="register",channel_av_register,"")  &amp; IF(C45="listen",channel_av_listen,"")</f>
        <v>/listen</v>
      </c>
      <c r="AC45" s="36" t="str">
        <f t="shared" si="55"/>
        <v/>
      </c>
      <c r="AD45" s="36" t="str">
        <f t="shared" si="56"/>
        <v/>
      </c>
      <c r="AE45" s="42"/>
      <c r="AF45" s="52" t="s">
        <v>166</v>
      </c>
      <c r="AG45" s="52"/>
      <c r="AH45" s="53"/>
      <c r="AI45" s="53"/>
      <c r="AJ45" s="53"/>
      <c r="AK45" s="56" t="str">
        <f t="shared" si="57"/>
        <v/>
      </c>
      <c r="AL45" s="53"/>
      <c r="AM45" s="133"/>
      <c r="AN45" s="53"/>
      <c r="AO45" s="53"/>
      <c r="AP45" s="53"/>
      <c r="AQ45" s="53"/>
      <c r="AR45" s="53"/>
      <c r="AS45" s="53"/>
      <c r="AT45" s="53"/>
      <c r="AU45" s="53"/>
      <c r="AV45" s="53"/>
      <c r="AW45" s="53"/>
      <c r="AX45" s="53"/>
      <c r="AY45" s="53"/>
      <c r="AZ45" s="53"/>
      <c r="BA45" s="53"/>
      <c r="BB45" s="53"/>
      <c r="BC45" s="54"/>
      <c r="BD45" s="42"/>
      <c r="BE45" s="35"/>
      <c r="BF45" s="54"/>
      <c r="BG45" s="108"/>
      <c r="BH45" s="108"/>
      <c r="BI45" s="108"/>
      <c r="BJ45" s="110"/>
      <c r="BK45" s="54"/>
      <c r="BL45" s="53"/>
      <c r="BM45" s="35"/>
      <c r="BN45" s="35"/>
      <c r="BO45" s="35"/>
      <c r="BP45" s="35"/>
      <c r="BQ45" s="35"/>
      <c r="BR45" s="54"/>
      <c r="BS45" s="35"/>
      <c r="BT45" s="35"/>
      <c r="BU45" s="35"/>
      <c r="BV45" s="35"/>
      <c r="BW45" s="35"/>
      <c r="BX45" s="54"/>
      <c r="BY45" s="34"/>
      <c r="BZ45" s="43"/>
      <c r="CA45" s="43"/>
      <c r="CB45" s="158" t="str">
        <f t="shared" si="44"/>
        <v/>
      </c>
      <c r="AOE45" s="28"/>
    </row>
    <row r="46" spans="1:80 1071:1071" s="27" customFormat="1">
      <c r="A46" s="32">
        <f t="shared" si="15"/>
        <v>43</v>
      </c>
      <c r="B46" s="32"/>
      <c r="C46" s="32" t="s">
        <v>122</v>
      </c>
      <c r="D46" s="32"/>
      <c r="E46" s="34" t="s">
        <v>123</v>
      </c>
      <c r="F46" s="34" t="str">
        <f t="shared" si="46"/>
        <v/>
      </c>
      <c r="G46" s="34" t="str">
        <f t="shared" si="0"/>
        <v>mute</v>
      </c>
      <c r="H46" s="116" t="str">
        <f t="shared" si="48"/>
        <v>{"av-command": "stt-control", "data": {"listening": false}}</v>
      </c>
      <c r="I46" s="36" t="str">
        <f t="shared" si="2"/>
        <v/>
      </c>
      <c r="J46" s="36" t="str">
        <f t="shared" si="49"/>
        <v/>
      </c>
      <c r="K46" s="116" t="str">
        <f t="shared" si="27"/>
        <v/>
      </c>
      <c r="L46" s="36"/>
      <c r="M46" s="136" t="str">
        <f t="shared" si="45"/>
        <v>unmute</v>
      </c>
      <c r="N46" s="116" t="str">
        <f t="shared" si="50"/>
        <v>{ "command": "unmute", "entity": "Eliza", "data" : {"prompt" : "%prompt" }}</v>
      </c>
      <c r="O46" s="129" t="str">
        <f t="shared" si="51"/>
        <v>{ "command": "unmute", "entity": "Eliza", "data" : {"prompt" : "Go Deeper" }}</v>
      </c>
      <c r="P46" s="81"/>
      <c r="Q46" s="37" t="str">
        <f t="shared" si="52"/>
        <v>{"id":"43","type":"meat","channel":"","state":"think"}</v>
      </c>
      <c r="R46" s="141"/>
      <c r="S46" s="148" t="str">
        <f t="shared" si="53"/>
        <v>mask_generated</v>
      </c>
      <c r="T46" s="137" t="str">
        <f t="shared" si="54"/>
        <v>{"words-out" : { "entity" : "Eliza"} }</v>
      </c>
      <c r="U46" s="45"/>
      <c r="V46" s="35" t="str">
        <f>IF(OR(P46="",Y46=""),"",osc_exe_npmosc&amp;" --host "&amp;osc_ip&amp;":"&amp;osc_port_control&amp;" "&amp;Z46&amp; "  " &amp; j_qot &amp;X46 &amp; j_qot)</f>
        <v/>
      </c>
      <c r="W46" s="36" t="str">
        <f t="shared" si="30"/>
        <v/>
      </c>
      <c r="X46" s="36" t="str">
        <f t="shared" si="29"/>
        <v/>
      </c>
      <c r="Y46" s="34"/>
      <c r="Z46" s="36" t="str">
        <f t="shared" si="47"/>
        <v/>
      </c>
      <c r="AA46" s="36"/>
      <c r="AB46" s="36" t="str" cm="1">
        <f t="array" ref="AB46">IF(C46="observe",channel_av_observe,"") &amp; IF(C46="register",channel_av_register,"")  &amp; IF(C46="listen",channel_av_listen,"")</f>
        <v/>
      </c>
      <c r="AC46" s="36" t="str">
        <f t="shared" si="55"/>
        <v/>
      </c>
      <c r="AD46" s="36" t="str">
        <f t="shared" si="56"/>
        <v>/generate</v>
      </c>
      <c r="AE46" s="42"/>
      <c r="AF46" s="49" t="s">
        <v>124</v>
      </c>
      <c r="AG46" s="49" t="s">
        <v>125</v>
      </c>
      <c r="AH46" s="49"/>
      <c r="AI46" s="49"/>
      <c r="AJ46" s="49"/>
      <c r="AK46" s="56" t="str">
        <f t="shared" si="57"/>
        <v/>
      </c>
      <c r="AL46" s="49"/>
      <c r="AM46" s="133"/>
      <c r="AN46" s="49"/>
      <c r="AO46" s="49"/>
      <c r="AP46" s="49"/>
      <c r="AQ46" s="49"/>
      <c r="AR46" s="49"/>
      <c r="AS46" s="49"/>
      <c r="AT46" s="49"/>
      <c r="AU46" s="49"/>
      <c r="AV46" s="49"/>
      <c r="AW46" s="49"/>
      <c r="AX46" s="49"/>
      <c r="AY46" s="49"/>
      <c r="AZ46" s="49"/>
      <c r="BA46" s="49"/>
      <c r="BB46" s="49"/>
      <c r="BC46" s="50"/>
      <c r="BD46" s="42"/>
      <c r="BE46" s="35"/>
      <c r="BF46" s="50"/>
      <c r="BG46" s="108"/>
      <c r="BH46" s="108"/>
      <c r="BI46" s="108"/>
      <c r="BJ46" s="110"/>
      <c r="BK46" s="50"/>
      <c r="BL46" s="49"/>
      <c r="BM46" s="35"/>
      <c r="BN46" s="35"/>
      <c r="BO46" s="35"/>
      <c r="BP46" s="35"/>
      <c r="BQ46" s="35"/>
      <c r="BR46" s="50"/>
      <c r="BS46" s="35"/>
      <c r="BT46" s="35"/>
      <c r="BU46" s="35"/>
      <c r="BV46" s="35"/>
      <c r="BW46" s="35"/>
      <c r="BX46" s="50"/>
      <c r="BY46" s="34"/>
      <c r="BZ46" s="43"/>
      <c r="CA46" s="43"/>
      <c r="CB46" s="158" t="str">
        <f t="shared" si="44"/>
        <v/>
      </c>
      <c r="AOE46" s="28"/>
    </row>
    <row r="47" spans="1:80 1071:1071" s="27" customFormat="1">
      <c r="A47" s="32">
        <f t="shared" si="15"/>
        <v>44</v>
      </c>
      <c r="B47" s="32"/>
      <c r="C47" s="32" t="s">
        <v>126</v>
      </c>
      <c r="D47" s="32"/>
      <c r="E47" s="34" t="s">
        <v>127</v>
      </c>
      <c r="F47" s="34" t="str">
        <f t="shared" si="46"/>
        <v/>
      </c>
      <c r="G47" s="34" t="str">
        <f t="shared" si="0"/>
        <v/>
      </c>
      <c r="H47" s="116" t="str">
        <f t="shared" si="48"/>
        <v/>
      </c>
      <c r="I47" s="36" t="str">
        <f t="shared" si="2"/>
        <v/>
      </c>
      <c r="J47" s="36" t="str">
        <f t="shared" si="49"/>
        <v/>
      </c>
      <c r="K47" s="116" t="str">
        <f t="shared" si="27"/>
        <v/>
      </c>
      <c r="L47" s="36"/>
      <c r="M47" s="136" t="str">
        <f t="shared" si="45"/>
        <v/>
      </c>
      <c r="N47" s="116" t="str">
        <f t="shared" si="50"/>
        <v/>
      </c>
      <c r="O47" s="129" t="str">
        <f t="shared" si="51"/>
        <v/>
      </c>
      <c r="P47" s="37" t="str">
        <f>IF(Y47&lt;&gt;"x","",j_opn&amp;"id"&amp;j_sep&amp;A47 &amp; j_nxt&amp;label_deepfake_name &amp; j_sep &amp; AH47 &amp; j_nxt&amp; "type" &amp; j_sep &amp; label_meat &amp; j_nxt&amp; "channel" &amp;j_sep&amp;Z47&amp;j_nxt&amp;label_role&amp;j_sep&amp;AE47&amp;j_nxt&amp;label_text&amp;j_sep&amp;AF47&amp;j_nxt&amp;label_gpt_emo&amp;j_sep&amp;BD47&amp;j_nxt&amp;label_gpt_tone&amp;j_sep&amp;BE47&amp;j_nxt&amp;label_animate&amp;j_sub_opn&amp;label_pre&amp;j_sep&amp;IF(do_anim=FALSE,"",BG47)&amp;j_nxt&amp;label_post&amp;j_sep&amp;IF(do_anim="","",BH47)&amp;j_nxt&amp;label_next_state&amp;j_sep&amp;BI47&amp;J_sub_cls&amp;label_azure&amp;j_sub_opn&amp;label_style&amp;j_sep&amp;BL47&amp;j_nxt&amp;label_degree&amp;J_sep_num&amp;BM47&amp;j_nxt_num&amp;label_pause&amp;J_sep_num&amp;BN47&amp;j_nxt_num&amp;label_pitch&amp;J_sep_num&amp;BO47&amp;j_nxt_num&amp;label_rate&amp;J_sep_num&amp;BP47&amp;j_nxt_num&amp;label_volume&amp;J_sep_num&amp;BQ47&amp;j_sub_cls_num&amp;label_emotion&amp;j_sub_opn&amp;label_sad&amp;J_sep_num&amp;BS47&amp;j_nxt_num&amp;label_joy&amp;J_sep_num&amp;BT47&amp;j_nxt_num&amp;label_fear&amp;J_sep_num&amp;BU47&amp;j_nxt_num&amp;label_disgust&amp;J_sep_num&amp;BV47&amp;j_nxt_num&amp;label_anger&amp;J_sep_num&amp;BW47&amp;j_sub_cls_num&amp;label_sg&amp;j_sub_opn&amp;label_mood&amp;j_sep&amp;BY47&amp;j_nxt&amp;label_scale&amp;J_sep_num&amp;BZ47&amp;j_end_num)</f>
        <v>{"id":"44","name":"inquiry 02","type":"meat","channel":"say","role":"mask","text":"What do you think that dream meant?","gpt_emotion":"","gpt_tone":"","animate":{"pre":"","post":"","next_state":""},"azure":{"style":"","degree":0,"pause":0,"pitch":0,"rate":0,"volume":0},"emotion":{"sadness":-1,"joy":-1,"fear":-1,"disgust":-1,"anger":-1},"sgcom":{"mood":"","scale":-1}}</v>
      </c>
      <c r="Q47" s="37" t="str">
        <f t="shared" si="52"/>
        <v/>
      </c>
      <c r="R47" s="141"/>
      <c r="S47" s="148" t="str">
        <f t="shared" si="53"/>
        <v>mask_spoke</v>
      </c>
      <c r="T47" s="137" t="str">
        <f t="shared" si="54"/>
        <v>{"words-in" : { "entity" : "Eliza"} }</v>
      </c>
      <c r="U47" s="45"/>
      <c r="V47" s="35" t="str">
        <f>IF(OR(P47="",Y47=""),"",osc_exe_npmosc&amp;" --host "&amp;osc_ip&amp;":"&amp;osc_port_control&amp;" "&amp; osc_channel_meat_stub &amp; "  " &amp; j_qot &amp;X47 &amp; j_qot)</f>
        <v>/opt/homebrew/bin/osc --host 10.10.10.10:5918 /meat  "{#Qid#Q:#Q44#Q#C#Qname#Q:#Qinquiry#S02#Q#C#Qtype#Q:#Qmeat#Q#C#Qchannel#Q:#Qsay#Q#C#Qrole#Q:#Qmask#Q#C#Qtext#Q:#QWhat#Sdo#Syou#Sthink#Sthat#Sdream#Smeant?#Q#C#Qgpt_emotion#Q:#Q#Q#C#Qgpt_tone#Q:#Q#Q#C#Qanimate#Q:{#Qpre#Q:#Q#Q#C#Qpost#Q:#Q#Q#C#Qnext_state#Q:#Q#Q}#C#Qazure#Q:{#Qstyle#Q:#Q#Q#C#Qdegree#Q:0#C#Qpause#Q:0#C#Qpitch#Q:0#C#Qrate#Q:0#C#Qvolume#Q:0}#C#Qemotion#Q:{#Qsadness#Q:-1#C#Qjoy#Q:-1#C#Qfear#Q:-1#C#Qdisgust#Q:-1#C#Qanger#Q:-1}#C#Qsgcom#Q:{#Qmood#Q:#Q#Q#C#Qscale#Q:-1}}"</v>
      </c>
      <c r="W47" s="36" t="str">
        <f t="shared" si="30"/>
        <v>/opt/homebrew/bin/sendosc 10.10.10.10 5918 say s {\"id\":\"44\",\"name\":\"inquiry\ 02\",\"type\":\"meat\",\"channel\":\"say\",\"role\":\"mask\",\"text\":\"What\ do\ you\ think\ that\ dream\ meant\?\",\"gpt_emotion\":\"\",\"gpt_tone\":\"\",\"animate\":{\"pre\":\"\",\"post\":\"\",\"next_state\":\"\"\},\"azure\":{\"style\":\"\",\"degree\":0,\"pause\":0,\"pitch\":0,\"rate\":0,\"volume\":0\},\"emotion\":{\"sadness\":-1,\"joy\":-1,\"fear\":-1,\"disgust\":-1,\"anger\":-1\},\"sgcom\":{\"mood\":\"\",\"scale\":-1\}\}</v>
      </c>
      <c r="X47" s="36" t="str">
        <f t="shared" si="29"/>
        <v>{#Qid#Q:#Q44#Q#C#Qname#Q:#Qinquiry#S02#Q#C#Qtype#Q:#Qmeat#Q#C#Qchannel#Q:#Qsay#Q#C#Qrole#Q:#Qmask#Q#C#Qtext#Q:#QWhat#Sdo#Syou#Sthink#Sthat#Sdream#Smeant?#Q#C#Qgpt_emotion#Q:#Q#Q#C#Qgpt_tone#Q:#Q#Q#C#Qanimate#Q:{#Qpre#Q:#Q#Q#C#Qpost#Q:#Q#Q#C#Qnext_state#Q:#Q#Q}#C#Qazure#Q:{#Qstyle#Q:#Q#Q#C#Qdegree#Q:0#C#Qpause#Q:0#C#Qpitch#Q:0#C#Qrate#Q:0#C#Qvolume#Q:0}#C#Qemotion#Q:{#Qsadness#Q:-1#C#Qjoy#Q:-1#C#Qfear#Q:-1#C#Qdisgust#Q:-1#C#Qanger#Q:-1}#C#Qsgcom#Q:{#Qmood#Q:#Q#Q#C#Qscale#Q:-1}}</v>
      </c>
      <c r="Y47" s="40" t="s">
        <v>102</v>
      </c>
      <c r="Z47" s="36" t="str">
        <f t="shared" si="47"/>
        <v>say</v>
      </c>
      <c r="AA47" s="36"/>
      <c r="AB47" s="36" t="str" cm="1">
        <f t="array" ref="AB47">IF(C47="observe",channel_av_observe,"") &amp; IF(C47="register",channel_av_register,"")  &amp; IF(C47="listen",channel_av_listen,"")</f>
        <v/>
      </c>
      <c r="AC47" s="36" t="str">
        <f t="shared" si="55"/>
        <v/>
      </c>
      <c r="AD47" s="36" t="str">
        <f t="shared" si="56"/>
        <v/>
      </c>
      <c r="AE47" s="42" t="s">
        <v>103</v>
      </c>
      <c r="AF47" s="51" t="s">
        <v>167</v>
      </c>
      <c r="AG47" s="51"/>
      <c r="AH47" s="49" t="s">
        <v>134</v>
      </c>
      <c r="AI47" s="49"/>
      <c r="AJ47" s="114">
        <f>A47</f>
        <v>44</v>
      </c>
      <c r="AK47" s="56" t="str">
        <f t="shared" si="57"/>
        <v>044_inquiry 02</v>
      </c>
      <c r="AL47" s="49"/>
      <c r="AM47" s="133"/>
      <c r="AN47" s="49"/>
      <c r="AO47" s="49"/>
      <c r="AP47" s="49"/>
      <c r="AQ47" s="49"/>
      <c r="AR47" s="49"/>
      <c r="AS47" s="49"/>
      <c r="AT47" s="49"/>
      <c r="AU47" s="49"/>
      <c r="AV47" s="49"/>
      <c r="AW47" s="49"/>
      <c r="AX47" s="49"/>
      <c r="AY47" s="49"/>
      <c r="AZ47" s="49"/>
      <c r="BA47" s="49"/>
      <c r="BB47" s="49"/>
      <c r="BC47" s="50"/>
      <c r="BD47" s="42"/>
      <c r="BE47" s="42"/>
      <c r="BF47" s="50"/>
      <c r="BG47" s="108"/>
      <c r="BH47" s="108"/>
      <c r="BI47" s="108"/>
      <c r="BJ47" s="110"/>
      <c r="BK47" s="50"/>
      <c r="BL47" s="42"/>
      <c r="BM47" s="35">
        <v>0</v>
      </c>
      <c r="BN47" s="35">
        <v>0</v>
      </c>
      <c r="BO47" s="35">
        <v>0</v>
      </c>
      <c r="BP47" s="35">
        <v>0</v>
      </c>
      <c r="BQ47" s="35">
        <v>0</v>
      </c>
      <c r="BR47" s="50"/>
      <c r="BS47" s="35">
        <v>-1</v>
      </c>
      <c r="BT47" s="35">
        <v>-1</v>
      </c>
      <c r="BU47" s="35">
        <v>-1</v>
      </c>
      <c r="BV47" s="35">
        <v>-1</v>
      </c>
      <c r="BW47" s="35">
        <v>-1</v>
      </c>
      <c r="BX47" s="50"/>
      <c r="BY47" s="34"/>
      <c r="BZ47" s="43" t="s">
        <v>165</v>
      </c>
      <c r="CA47" s="43" t="s">
        <v>165</v>
      </c>
      <c r="CB47" s="158" t="str">
        <f t="shared" si="44"/>
        <v>{"azure":{"style":"","degree":0,"pause":0,"pitch":0,"rate":0,"volume":0},"emotion":{"sadness":-1,"joy":-1,"fear":-1,"disgust":-1,"anger":-1},"sgcom":{"mood":"","scale":-1}}</v>
      </c>
      <c r="AOE47" s="28"/>
    </row>
    <row r="48" spans="1:80 1071:1071" s="27" customFormat="1">
      <c r="A48" s="32">
        <f t="shared" si="15"/>
        <v>45</v>
      </c>
      <c r="B48" s="32"/>
      <c r="C48" s="32" t="s">
        <v>109</v>
      </c>
      <c r="D48" s="32"/>
      <c r="E48" s="34" t="s">
        <v>110</v>
      </c>
      <c r="F48" s="34" t="str">
        <f t="shared" si="46"/>
        <v/>
      </c>
      <c r="G48" s="34" t="str">
        <f t="shared" si="0"/>
        <v>unmute</v>
      </c>
      <c r="H48" s="116" t="str">
        <f>IFERROR(LOOKUP(G48, table_observe_commands),"")</f>
        <v>{"av-command": "stt-control", "data": {"listening": true}}</v>
      </c>
      <c r="I48" s="36" t="str">
        <f t="shared" si="2"/>
        <v/>
      </c>
      <c r="J48" s="36" t="str">
        <f>IFERROR(LOOKUP(I48, table_td_commands),"")</f>
        <v/>
      </c>
      <c r="K48" s="116" t="str">
        <f t="shared" si="27"/>
        <v/>
      </c>
      <c r="L48" s="36"/>
      <c r="M48" s="136" t="str">
        <f t="shared" si="45"/>
        <v>mute</v>
      </c>
      <c r="N48" s="116" t="str">
        <f>IFERROR(LOOKUP(M48, table_bot_commands),"")</f>
        <v>{ "command": "mute", "entity": "Eliza", "data" : null}</v>
      </c>
      <c r="O48" s="129" t="str">
        <f t="shared" si="51"/>
        <v>{ "command": "mute", "entity": "Eliza", "data" : null}</v>
      </c>
      <c r="P48" s="81"/>
      <c r="Q48" s="37" t="str">
        <f t="shared" si="52"/>
        <v/>
      </c>
      <c r="R48" s="141"/>
      <c r="S48" s="148" t="str">
        <f t="shared" si="53"/>
        <v>user_spoke</v>
      </c>
      <c r="T48" s="137" t="str">
        <f t="shared" si="54"/>
        <v>{"words-in" : { "entity" : "user"} }</v>
      </c>
      <c r="U48" s="45"/>
      <c r="V48" s="35" t="str">
        <f>IF(OR(P48="",Y48=""),"",osc_exe_npmosc&amp;" --host "&amp;osc_ip&amp;":"&amp;osc_port_control&amp;" "&amp;Z48&amp; "  " &amp; j_qot &amp;X48 &amp; j_qot)</f>
        <v/>
      </c>
      <c r="W48" s="36" t="str">
        <f t="shared" si="30"/>
        <v/>
      </c>
      <c r="X48" s="36" t="str">
        <f t="shared" si="29"/>
        <v/>
      </c>
      <c r="Y48" s="34"/>
      <c r="Z48" s="36" t="str">
        <f t="shared" si="47"/>
        <v/>
      </c>
      <c r="AA48" s="36"/>
      <c r="AB48" s="36" t="str" cm="1">
        <f t="array" ref="AB48">IF(C48="observe",channel_av_observe,"") &amp; IF(C48="register",channel_av_register,"")  &amp; IF(C48="listen",channel_av_listen,"")</f>
        <v>/listen</v>
      </c>
      <c r="AC48" s="36" t="str">
        <f t="shared" si="55"/>
        <v/>
      </c>
      <c r="AD48" s="36" t="str">
        <f t="shared" si="56"/>
        <v/>
      </c>
      <c r="AE48" s="42"/>
      <c r="AF48" s="46" t="s">
        <v>168</v>
      </c>
      <c r="AG48" s="46"/>
      <c r="AH48" s="47"/>
      <c r="AI48" s="47"/>
      <c r="AJ48" s="47"/>
      <c r="AK48" s="56" t="str">
        <f t="shared" si="57"/>
        <v/>
      </c>
      <c r="AL48" s="47"/>
      <c r="AM48" s="133"/>
      <c r="AN48" s="47"/>
      <c r="AO48" s="47"/>
      <c r="AP48" s="47"/>
      <c r="AQ48" s="47"/>
      <c r="AR48" s="47"/>
      <c r="AS48" s="47"/>
      <c r="AT48" s="47"/>
      <c r="AU48" s="47"/>
      <c r="AV48" s="47"/>
      <c r="AW48" s="47"/>
      <c r="AX48" s="47"/>
      <c r="AY48" s="47"/>
      <c r="AZ48" s="47"/>
      <c r="BA48" s="47"/>
      <c r="BB48" s="47"/>
      <c r="BC48" s="48"/>
      <c r="BD48" s="42"/>
      <c r="BE48" s="35"/>
      <c r="BF48" s="48"/>
      <c r="BG48" s="108"/>
      <c r="BH48" s="108"/>
      <c r="BI48" s="108" t="s">
        <v>77</v>
      </c>
      <c r="BJ48" s="110"/>
      <c r="BK48" s="48"/>
      <c r="BL48" s="47"/>
      <c r="BM48" s="35"/>
      <c r="BN48" s="35"/>
      <c r="BO48" s="35"/>
      <c r="BP48" s="35"/>
      <c r="BQ48" s="35"/>
      <c r="BR48" s="48"/>
      <c r="BS48" s="35"/>
      <c r="BT48" s="35"/>
      <c r="BU48" s="35"/>
      <c r="BV48" s="35"/>
      <c r="BW48" s="35"/>
      <c r="BX48" s="48"/>
      <c r="BY48" s="34"/>
      <c r="BZ48" s="43"/>
      <c r="CA48" s="43"/>
      <c r="CB48" s="158" t="str">
        <f t="shared" si="44"/>
        <v/>
      </c>
      <c r="AOE48" s="28"/>
    </row>
    <row r="49" spans="1:80 1071:1071" s="27" customFormat="1">
      <c r="A49" s="32">
        <f>A48+1</f>
        <v>46</v>
      </c>
      <c r="B49" s="32"/>
      <c r="C49" s="32" t="s">
        <v>100</v>
      </c>
      <c r="D49" s="32"/>
      <c r="E49" s="34" t="s">
        <v>101</v>
      </c>
      <c r="F49" s="34" t="str">
        <f t="shared" si="46"/>
        <v/>
      </c>
      <c r="G49" s="34" t="str">
        <f t="shared" si="0"/>
        <v>mute</v>
      </c>
      <c r="H49" s="116" t="str">
        <f t="shared" si="48"/>
        <v>{"av-command": "stt-control", "data": {"listening": false}}</v>
      </c>
      <c r="I49" s="36" t="str">
        <f t="shared" si="2"/>
        <v/>
      </c>
      <c r="J49" s="36" t="str">
        <f t="shared" si="49"/>
        <v/>
      </c>
      <c r="K49" s="116" t="str">
        <f t="shared" si="27"/>
        <v/>
      </c>
      <c r="L49" s="36"/>
      <c r="M49" s="136" t="str">
        <f t="shared" si="45"/>
        <v>speak</v>
      </c>
      <c r="N49" s="116" t="str">
        <f t="shared" si="50"/>
        <v>{ "command": "speak", "entity": "Eliza", "data" : { "text" : "%text"}}</v>
      </c>
      <c r="O49" s="129" t="str">
        <f t="shared" si="51"/>
        <v>{ "command": "speak", "entity": "Eliza", "data" : { "text" : "I have prepared a text for you to read. Would you like to do that?"}}</v>
      </c>
      <c r="P49" s="37" t="str">
        <f>IF(Y49&lt;&gt;"x","",j_opn&amp;"id"&amp;j_sep&amp;A49 &amp; j_nxt&amp;label_deepfake_name &amp; j_sep &amp; AH49 &amp; j_nxt&amp; "type" &amp; j_sep &amp; label_meat &amp; j_nxt&amp; "channel" &amp;j_sep&amp;Z49&amp;j_nxt&amp;label_role&amp;j_sep&amp;AE49&amp;j_nxt&amp;label_text&amp;j_sep&amp;AF49&amp;j_nxt&amp;label_gpt_emo&amp;j_sep&amp;BD49&amp;j_nxt&amp;label_gpt_tone&amp;j_sep&amp;BE49&amp;j_nxt&amp;label_animate&amp;j_sub_opn&amp;label_pre&amp;j_sep&amp;IF(do_anim=FALSE,"",BG49)&amp;j_nxt&amp;label_post&amp;j_sep&amp;IF(do_anim="","",BH49)&amp;j_nxt&amp;label_next_state&amp;j_sep&amp;BI49&amp;J_sub_cls&amp;label_azure&amp;j_sub_opn&amp;label_style&amp;j_sep&amp;BL49&amp;j_nxt&amp;label_degree&amp;J_sep_num&amp;BM49&amp;j_nxt_num&amp;label_pause&amp;J_sep_num&amp;BN49&amp;j_nxt_num&amp;label_pitch&amp;J_sep_num&amp;BO49&amp;j_nxt_num&amp;label_rate&amp;J_sep_num&amp;BP49&amp;j_nxt_num&amp;label_volume&amp;J_sep_num&amp;BQ49&amp;j_sub_cls_num&amp;label_emotion&amp;j_sub_opn&amp;label_sad&amp;J_sep_num&amp;BS49&amp;j_nxt_num&amp;label_joy&amp;J_sep_num&amp;BT49&amp;j_nxt_num&amp;label_fear&amp;J_sep_num&amp;BU49&amp;j_nxt_num&amp;label_disgust&amp;J_sep_num&amp;BV49&amp;j_nxt_num&amp;label_anger&amp;J_sep_num&amp;BW49&amp;j_sub_cls_num&amp;label_sg&amp;j_sub_opn&amp;label_mood&amp;j_sep&amp;BY49&amp;j_nxt&amp;label_scale&amp;J_sep_num&amp;BZ49&amp;j_end_num)</f>
        <v>{"id":"46","name":"prepared_a_text","type":"meat","channel":"say","role":"mask","text":"I have prepared a text for you to read. Would you like to do that?","gpt_emotion":"","gpt_tone":"","animate":{"pre":"","post":"","next_state":""},"azure":{"style":"Whispering","degree":0.3,"pause":0,"pitch":0,"rate":-8,"volume":0},"emotion":{"sadness":-1,"joy":-1,"fear":-1,"disgust":-1,"anger":-1},"sgcom":{"mood":"","scale":-1}}</v>
      </c>
      <c r="Q49" s="37" t="str">
        <f t="shared" si="52"/>
        <v>{"id":"46","name":"prepared_a_text","type":"meat","channel":"say","role":"mask","text":"I have prepared a text for you to read. Would you like to do that?","gpt_emotion":"","gpt_tone":"","animate":{"pre":"","post":"","next_state":""},"azure":{"style":"Whispering","degree":0.3,"pause":0,"pitch":0,"rate":-8,"volume":0},"emotion":{"sadness":-1,"joy":-1,"fear":-1,"disgust":-1,"anger":-1},"sgcom":{"mood":"","scale":-1}}</v>
      </c>
      <c r="R49" s="141"/>
      <c r="S49" s="148" t="str">
        <f t="shared" si="53"/>
        <v>mask_spoke</v>
      </c>
      <c r="T49" s="137" t="str">
        <f t="shared" si="54"/>
        <v>{"words-in" : { "entity" : "Eliza"} }</v>
      </c>
      <c r="U49" s="45"/>
      <c r="V49" s="35" t="str">
        <f>IF(OR(P49="",Y49=""),"",osc_exe_npmosc&amp;" --host "&amp;osc_ip&amp;":"&amp;osc_port_control&amp;" "&amp; osc_channel_meat_stub &amp; "  " &amp; j_qot &amp;X49 &amp; j_qot)</f>
        <v>/opt/homebrew/bin/osc --host 10.10.10.10:5918 /meat  "{#Qid#Q:#Q46#Q#C#Qname#Q:#Qprepared_a_text#Q#C#Qtype#Q:#Qmeat#Q#C#Qchannel#Q:#Qsay#Q#C#Qrole#Q:#Qmask#Q#C#Qtext#Q:#QI#Shave#Sprepared#Sa#Stext#Sfor#Syou#Sto#Sread.#SWould#Syou#Slike#Sto#Sdo#Sthat?#Q#C#Qgpt_emotion#Q:#Q#Q#C#Qgpt_tone#Q:#Q#Q#C#Qanimate#Q:{#Qpre#Q:#Q#Q#C#Qpost#Q:#Q#Q#C#Qnext_state#Q:#Q#Q}#C#Qazure#Q:{#Qstyle#Q:#QWhispering#Q#C#Qdegree#Q:0.3#C#Qpause#Q:0#C#Qpitch#Q:0#C#Qrate#Q:-8#C#Qvolume#Q:0}#C#Qemotion#Q:{#Qsadness#Q:-1#C#Qjoy#Q:-1#C#Qfear#Q:-1#C#Qdisgust#Q:-1#C#Qanger#Q:-1}#C#Qsgcom#Q:{#Qmood#Q:#Q#Q#C#Qscale#Q:-1}}"</v>
      </c>
      <c r="W49" s="36" t="str">
        <f t="shared" si="30"/>
        <v>/opt/homebrew/bin/sendosc 10.10.10.10 5918 say s {\"id\":\"46\",\"name\":\"prepared_a_text\",\"type\":\"meat\",\"channel\":\"say\",\"role\":\"mask\",\"text\":\"I\ have\ prepared\ a\ text\ for\ you\ to\ read.\ Would\ you\ like\ to\ do\ that\?\",\"gpt_emotion\":\"\",\"gpt_tone\":\"\",\"animate\":{\"pre\":\"\",\"post\":\"\",\"next_state\":\"\"\},\"azure\":{\"style\":\"Whispering\",\"degree\":0.3,\"pause\":0,\"pitch\":0,\"rate\":-8,\"volume\":0\},\"emotion\":{\"sadness\":-1,\"joy\":-1,\"fear\":-1,\"disgust\":-1,\"anger\":-1\},\"sgcom\":{\"mood\":\"\",\"scale\":-1\}\}</v>
      </c>
      <c r="X49" s="36" t="str">
        <f t="shared" si="29"/>
        <v>{#Qid#Q:#Q46#Q#C#Qname#Q:#Qprepared_a_text#Q#C#Qtype#Q:#Qmeat#Q#C#Qchannel#Q:#Qsay#Q#C#Qrole#Q:#Qmask#Q#C#Qtext#Q:#QI#Shave#Sprepared#Sa#Stext#Sfor#Syou#Sto#Sread.#SWould#Syou#Slike#Sto#Sdo#Sthat?#Q#C#Qgpt_emotion#Q:#Q#Q#C#Qgpt_tone#Q:#Q#Q#C#Qanimate#Q:{#Qpre#Q:#Q#Q#C#Qpost#Q:#Q#Q#C#Qnext_state#Q:#Q#Q}#C#Qazure#Q:{#Qstyle#Q:#QWhispering#Q#C#Qdegree#Q:0.3#C#Qpause#Q:0#C#Qpitch#Q:0#C#Qrate#Q:-8#C#Qvolume#Q:0}#C#Qemotion#Q:{#Qsadness#Q:-1#C#Qjoy#Q:-1#C#Qfear#Q:-1#C#Qdisgust#Q:-1#C#Qanger#Q:-1}#C#Qsgcom#Q:{#Qmood#Q:#Q#Q#C#Qscale#Q:-1}}</v>
      </c>
      <c r="Y49" s="40" t="s">
        <v>102</v>
      </c>
      <c r="Z49" s="36" t="str">
        <f t="shared" si="47"/>
        <v>say</v>
      </c>
      <c r="AA49" s="36"/>
      <c r="AB49" s="36" t="str" cm="1">
        <f t="array" ref="AB49">IF(C49="observe",channel_av_observe,"") &amp; IF(C49="register",channel_av_register,"")  &amp; IF(C49="listen",channel_av_listen,"")</f>
        <v/>
      </c>
      <c r="AC49" s="36" t="str">
        <f t="shared" si="55"/>
        <v/>
      </c>
      <c r="AD49" s="36" t="str">
        <f t="shared" si="56"/>
        <v/>
      </c>
      <c r="AE49" s="42" t="s">
        <v>103</v>
      </c>
      <c r="AF49" s="37" t="s">
        <v>169</v>
      </c>
      <c r="AG49" s="37"/>
      <c r="AH49" s="37" t="s">
        <v>170</v>
      </c>
      <c r="AI49" s="37"/>
      <c r="AJ49" s="114">
        <f>A49</f>
        <v>46</v>
      </c>
      <c r="AK49" s="56" t="str">
        <f t="shared" si="57"/>
        <v>046_prepared_a_text</v>
      </c>
      <c r="AL49" s="37"/>
      <c r="AM49" s="133"/>
      <c r="AN49" s="37"/>
      <c r="AO49" s="37"/>
      <c r="AP49" s="37"/>
      <c r="AQ49" s="37"/>
      <c r="AR49" s="37"/>
      <c r="AS49" s="37"/>
      <c r="AT49" s="37"/>
      <c r="AU49" s="37"/>
      <c r="AV49" s="37"/>
      <c r="AW49" s="37"/>
      <c r="AX49" s="37"/>
      <c r="AY49" s="37"/>
      <c r="AZ49" s="37"/>
      <c r="BA49" s="37"/>
      <c r="BB49" s="37"/>
      <c r="BC49" s="41"/>
      <c r="BD49" s="42"/>
      <c r="BE49" s="42"/>
      <c r="BF49" s="41"/>
      <c r="BG49" s="108"/>
      <c r="BH49" s="108"/>
      <c r="BI49" s="108"/>
      <c r="BJ49" s="110"/>
      <c r="BK49" s="41"/>
      <c r="BL49" s="42" t="s">
        <v>120</v>
      </c>
      <c r="BM49" s="35" t="s">
        <v>115</v>
      </c>
      <c r="BN49" s="35">
        <v>0</v>
      </c>
      <c r="BO49" s="35">
        <v>0</v>
      </c>
      <c r="BP49" s="35">
        <v>-8</v>
      </c>
      <c r="BQ49" s="35">
        <v>0</v>
      </c>
      <c r="BR49" s="41"/>
      <c r="BS49" s="35">
        <v>-1</v>
      </c>
      <c r="BT49" s="35">
        <v>-1</v>
      </c>
      <c r="BU49" s="35">
        <v>-1</v>
      </c>
      <c r="BV49" s="35">
        <v>-1</v>
      </c>
      <c r="BW49" s="35">
        <v>-1</v>
      </c>
      <c r="BX49" s="41"/>
      <c r="BY49" s="34"/>
      <c r="BZ49" s="43" t="s">
        <v>165</v>
      </c>
      <c r="CA49" s="43" t="s">
        <v>165</v>
      </c>
      <c r="CB49" s="158" t="str">
        <f t="shared" ref="CB49:CB80" si="58">IF(Y49&lt;&gt;"x","",j_opn&amp;label_azure&amp;j_sub_opn&amp;label_style&amp;j_sep&amp;BL49&amp;j_nxt&amp;label_degree&amp;J_sep_num&amp;BM49&amp;j_nxt_num&amp;label_pause&amp;J_sep_num&amp;BN49&amp;j_nxt_num&amp;label_pitch&amp;J_sep_num&amp;BO49&amp;j_nxt_num&amp;label_rate&amp;J_sep_num&amp;BP49&amp;j_nxt_num&amp;label_volume&amp;J_sep_num&amp;BQ49&amp;j_sub_cls_num&amp;label_emotion&amp;j_sub_opn&amp;label_sad&amp;J_sep_num&amp;BS49&amp;j_nxt_num&amp;label_joy&amp;J_sep_num&amp;BT49&amp;j_nxt_num&amp;label_fear&amp;J_sep_num&amp;BU49&amp;j_nxt_num&amp;label_disgust&amp;J_sep_num&amp;BV49&amp;j_nxt_num&amp;label_anger&amp;J_sep_num&amp;BW49&amp;j_sub_cls_num&amp;label_sg&amp;j_sub_opn&amp;label_mood&amp;j_sep&amp;BY49&amp;j_nxt&amp;label_scale&amp;J_sep_num&amp;BZ49&amp;j_end_num)</f>
        <v>{"azure":{"style":"Whispering","degree":0.3,"pause":0,"pitch":0,"rate":-8,"volume":0},"emotion":{"sadness":-1,"joy":-1,"fear":-1,"disgust":-1,"anger":-1},"sgcom":{"mood":"","scale":-1}}</v>
      </c>
      <c r="AOE49" s="28"/>
    </row>
    <row r="50" spans="1:80 1071:1071" s="27" customFormat="1">
      <c r="A50" s="32">
        <f t="shared" si="15"/>
        <v>47</v>
      </c>
      <c r="B50" s="32"/>
      <c r="C50" s="32" t="s">
        <v>109</v>
      </c>
      <c r="D50" s="32"/>
      <c r="E50" s="34" t="s">
        <v>110</v>
      </c>
      <c r="F50" s="34" t="str">
        <f t="shared" si="46"/>
        <v/>
      </c>
      <c r="G50" s="34" t="str">
        <f t="shared" si="0"/>
        <v>unmute</v>
      </c>
      <c r="H50" s="116" t="str">
        <f t="shared" si="48"/>
        <v>{"av-command": "stt-control", "data": {"listening": true}}</v>
      </c>
      <c r="I50" s="36" t="str">
        <f t="shared" si="2"/>
        <v/>
      </c>
      <c r="J50" s="36" t="str">
        <f t="shared" si="49"/>
        <v/>
      </c>
      <c r="K50" s="116" t="str">
        <f t="shared" si="27"/>
        <v/>
      </c>
      <c r="L50" s="36"/>
      <c r="M50" s="136" t="str">
        <f t="shared" si="45"/>
        <v>mute</v>
      </c>
      <c r="N50" s="116" t="str">
        <f t="shared" si="50"/>
        <v>{ "command": "mute", "entity": "Eliza", "data" : null}</v>
      </c>
      <c r="O50" s="129" t="str">
        <f t="shared" si="51"/>
        <v>{ "command": "mute", "entity": "Eliza", "data" : null}</v>
      </c>
      <c r="P50" s="81"/>
      <c r="Q50" s="37" t="str">
        <f t="shared" si="52"/>
        <v/>
      </c>
      <c r="R50" s="141"/>
      <c r="S50" s="148" t="str">
        <f t="shared" si="53"/>
        <v>user_spoke</v>
      </c>
      <c r="T50" s="137" t="str">
        <f t="shared" si="54"/>
        <v>{"words-in" : { "entity" : "user"} }</v>
      </c>
      <c r="U50" s="45"/>
      <c r="V50" s="35" t="str">
        <f>IF(OR(P50="",Y50=""),"",osc_exe_npmosc&amp;" --host "&amp;osc_ip&amp;":"&amp;osc_port_control&amp;" "&amp;Z50&amp; "  " &amp; j_qot &amp;X50 &amp; j_qot)</f>
        <v/>
      </c>
      <c r="W50" s="36" t="str">
        <f t="shared" si="30"/>
        <v/>
      </c>
      <c r="X50" s="36" t="str">
        <f t="shared" si="29"/>
        <v/>
      </c>
      <c r="Y50" s="34"/>
      <c r="Z50" s="36" t="str">
        <f t="shared" si="47"/>
        <v/>
      </c>
      <c r="AA50" s="36"/>
      <c r="AB50" s="36" t="str" cm="1">
        <f t="array" ref="AB50">IF(C50="observe",channel_av_observe,"") &amp; IF(C50="register",channel_av_register,"")  &amp; IF(C50="listen",channel_av_listen,"")</f>
        <v>/listen</v>
      </c>
      <c r="AC50" s="36" t="str">
        <f t="shared" si="55"/>
        <v/>
      </c>
      <c r="AD50" s="36" t="str">
        <f t="shared" si="56"/>
        <v/>
      </c>
      <c r="AE50" s="42"/>
      <c r="AF50" s="46" t="s">
        <v>171</v>
      </c>
      <c r="AG50" s="46"/>
      <c r="AH50" s="47"/>
      <c r="AI50" s="47"/>
      <c r="AJ50" s="47"/>
      <c r="AK50" s="56" t="str">
        <f t="shared" si="14"/>
        <v/>
      </c>
      <c r="AL50" s="47"/>
      <c r="AM50" s="133"/>
      <c r="AN50" s="47"/>
      <c r="AO50" s="47"/>
      <c r="AP50" s="47"/>
      <c r="AQ50" s="47"/>
      <c r="AR50" s="47"/>
      <c r="AS50" s="47"/>
      <c r="AT50" s="47"/>
      <c r="AU50" s="47"/>
      <c r="AV50" s="47"/>
      <c r="AW50" s="47"/>
      <c r="AX50" s="47"/>
      <c r="AY50" s="47"/>
      <c r="AZ50" s="47"/>
      <c r="BA50" s="47"/>
      <c r="BB50" s="47"/>
      <c r="BC50" s="48"/>
      <c r="BD50" s="42"/>
      <c r="BE50" s="35"/>
      <c r="BF50" s="48"/>
      <c r="BG50" s="108"/>
      <c r="BH50" s="108"/>
      <c r="BI50" s="108" t="s">
        <v>77</v>
      </c>
      <c r="BJ50" s="110"/>
      <c r="BK50" s="48"/>
      <c r="BL50" s="47"/>
      <c r="BM50" s="35"/>
      <c r="BN50" s="35"/>
      <c r="BO50" s="35"/>
      <c r="BP50" s="35"/>
      <c r="BQ50" s="35"/>
      <c r="BR50" s="48"/>
      <c r="BS50" s="35"/>
      <c r="BT50" s="35"/>
      <c r="BU50" s="35"/>
      <c r="BV50" s="35"/>
      <c r="BW50" s="35"/>
      <c r="BX50" s="48"/>
      <c r="BY50" s="34"/>
      <c r="BZ50" s="43"/>
      <c r="CA50" s="43"/>
      <c r="CB50" s="158" t="str">
        <f t="shared" si="58"/>
        <v/>
      </c>
      <c r="AOE50" s="28"/>
    </row>
    <row r="51" spans="1:80 1071:1071" s="27" customFormat="1">
      <c r="A51" s="32">
        <f>A50+1</f>
        <v>48</v>
      </c>
      <c r="B51" s="32"/>
      <c r="C51" s="32" t="s">
        <v>100</v>
      </c>
      <c r="D51" s="32"/>
      <c r="E51" s="34" t="s">
        <v>101</v>
      </c>
      <c r="F51" s="34" t="str">
        <f t="shared" si="46"/>
        <v/>
      </c>
      <c r="G51" s="34" t="str">
        <f t="shared" si="0"/>
        <v>mute</v>
      </c>
      <c r="H51" s="116" t="str">
        <f t="shared" si="48"/>
        <v>{"av-command": "stt-control", "data": {"listening": false}}</v>
      </c>
      <c r="I51" s="36" t="str">
        <f t="shared" si="2"/>
        <v/>
      </c>
      <c r="J51" s="36" t="str">
        <f t="shared" si="49"/>
        <v/>
      </c>
      <c r="K51" s="116" t="str">
        <f t="shared" si="27"/>
        <v/>
      </c>
      <c r="L51" s="36"/>
      <c r="M51" s="136" t="str">
        <f t="shared" si="45"/>
        <v>speak</v>
      </c>
      <c r="N51" s="116" t="str">
        <f t="shared" si="50"/>
        <v>{ "command": "speak", "entity": "Eliza", "data" : { "text" : "%text"}}</v>
      </c>
      <c r="O51" s="129" t="str">
        <f t="shared" si="51"/>
        <v>{ "command": "speak", "entity": "Eliza", "data" : { "text" : "Then please: [break=200] Look under the cleenex box."}}</v>
      </c>
      <c r="P51" s="37" t="str">
        <f>IF(Y51&lt;&gt;"x","",j_opn&amp;"id"&amp;j_sep&amp;A51 &amp; j_nxt&amp;label_deepfake_name &amp; j_sep &amp; AH51 &amp; j_nxt&amp; "type" &amp; j_sep &amp; label_meat &amp; j_nxt&amp; "channel" &amp;j_sep&amp;Z51&amp;j_nxt&amp;label_role&amp;j_sep&amp;AE51&amp;j_nxt&amp;label_text&amp;j_sep&amp;AF51&amp;j_nxt&amp;label_gpt_emo&amp;j_sep&amp;BD51&amp;j_nxt&amp;label_gpt_tone&amp;j_sep&amp;BE51&amp;j_nxt&amp;label_animate&amp;j_sub_opn&amp;label_pre&amp;j_sep&amp;IF(do_anim=FALSE,"",BG51)&amp;j_nxt&amp;label_post&amp;j_sep&amp;IF(do_anim="","",BH51)&amp;j_nxt&amp;label_next_state&amp;j_sep&amp;BI51&amp;J_sub_cls&amp;label_azure&amp;j_sub_opn&amp;label_style&amp;j_sep&amp;BL51&amp;j_nxt&amp;label_degree&amp;J_sep_num&amp;BM51&amp;j_nxt_num&amp;label_pause&amp;J_sep_num&amp;BN51&amp;j_nxt_num&amp;label_pitch&amp;J_sep_num&amp;BO51&amp;j_nxt_num&amp;label_rate&amp;J_sep_num&amp;BP51&amp;j_nxt_num&amp;label_volume&amp;J_sep_num&amp;BQ51&amp;j_sub_cls_num&amp;label_emotion&amp;j_sub_opn&amp;label_sad&amp;J_sep_num&amp;BS51&amp;j_nxt_num&amp;label_joy&amp;J_sep_num&amp;BT51&amp;j_nxt_num&amp;label_fear&amp;J_sep_num&amp;BU51&amp;j_nxt_num&amp;label_disgust&amp;J_sep_num&amp;BV51&amp;j_nxt_num&amp;label_anger&amp;J_sep_num&amp;BW51&amp;j_sub_cls_num&amp;label_sg&amp;j_sub_opn&amp;label_mood&amp;j_sep&amp;BY51&amp;j_nxt&amp;label_scale&amp;J_sep_num&amp;BZ51&amp;j_end_num)</f>
        <v>{"id":"48","name":"look_under_the_box","type":"meat","channel":"say","role":"mask","text":"Then please: [break=200] Look under the cleenex box.","gpt_emotion":"","gpt_tone":"","animate":{"pre":"","post":"","next_state":""},"azure":{"style":"Hopeful","degree":0.2,"pause":0,"pitch":0,"rate":-3,"volume":0},"emotion":{"sadness":-1,"joy":-1,"fear":-1,"disgust":-1,"anger":-1},"sgcom":{"mood":"","scale":-1}}</v>
      </c>
      <c r="Q51" s="37" t="str">
        <f t="shared" si="52"/>
        <v>{"id":"48","name":"look_under_the_box","type":"meat","channel":"say","role":"mask","text":"Then please: [break=200] Look under the cleenex box.","gpt_emotion":"","gpt_tone":"","animate":{"pre":"","post":"","next_state":""},"azure":{"style":"Hopeful","degree":0.2,"pause":0,"pitch":0,"rate":-3,"volume":0},"emotion":{"sadness":-1,"joy":-1,"fear":-1,"disgust":-1,"anger":-1},"sgcom":{"mood":"","scale":-1}}</v>
      </c>
      <c r="R51" s="141"/>
      <c r="S51" s="148" t="str">
        <f t="shared" si="53"/>
        <v>mask_spoke</v>
      </c>
      <c r="T51" s="137" t="str">
        <f t="shared" si="54"/>
        <v>{"words-in" : { "entity" : "Eliza"} }</v>
      </c>
      <c r="U51" s="45"/>
      <c r="V51" s="35" t="str">
        <f>IF(OR(P51="",Y51=""),"",osc_exe_npmosc&amp;" --host "&amp;osc_ip&amp;":"&amp;osc_port_control&amp;" "&amp; osc_channel_meat_stub &amp; "  " &amp; j_qot &amp;X51 &amp; j_qot)</f>
        <v>/opt/homebrew/bin/osc --host 10.10.10.10:5918 /meat  "{#Qid#Q:#Q48#Q#C#Qname#Q:#Qlook_under_the_box#Q#C#Qtype#Q:#Qmeat#Q#C#Qchannel#Q:#Qsay#Q#C#Qrole#Q:#Qmask#Q#C#Qtext#Q:#QThen#Splease:#S[break=200]#SLook#Sunder#Sthe#Scleenex#Sbox.#Q#C#Qgpt_emotion#Q:#Q#Q#C#Qgpt_tone#Q:#Q#Q#C#Qanimate#Q:{#Qpre#Q:#Q#Q#C#Qpost#Q:#Q#Q#C#Qnext_state#Q:#Q#Q}#C#Qazure#Q:{#Qstyle#Q:#QHopeful#Q#C#Qdegree#Q:0.2#C#Qpause#Q:0#C#Qpitch#Q:0#C#Qrate#Q:-3#C#Qvolume#Q:0}#C#Qemotion#Q:{#Qsadness#Q:-1#C#Qjoy#Q:-1#C#Qfear#Q:-1#C#Qdisgust#Q:-1#C#Qanger#Q:-1}#C#Qsgcom#Q:{#Qmood#Q:#Q#Q#C#Qscale#Q:-1}}"</v>
      </c>
      <c r="W51" s="36" t="str">
        <f t="shared" si="30"/>
        <v>/opt/homebrew/bin/sendosc 10.10.10.10 5918 say s {\"id\":\"48\",\"name\":\"look_under_the_box\",\"type\":\"meat\",\"channel\":\"say\",\"role\":\"mask\",\"text\":\"Then\ please:\ [break=200]\ Look\ under\ the\ cleenex\ box.\",\"gpt_emotion\":\"\",\"gpt_tone\":\"\",\"animate\":{\"pre\":\"\",\"post\":\"\",\"next_state\":\"\"\},\"azure\":{\"style\":\"Hopeful\",\"degree\":0.2,\"pause\":0,\"pitch\":0,\"rate\":-3,\"volume\":0\},\"emotion\":{\"sadness\":-1,\"joy\":-1,\"fear\":-1,\"disgust\":-1,\"anger\":-1\},\"sgcom\":{\"mood\":\"\",\"scale\":-1\}\}</v>
      </c>
      <c r="X51" s="36" t="str">
        <f t="shared" si="29"/>
        <v>{#Qid#Q:#Q48#Q#C#Qname#Q:#Qlook_under_the_box#Q#C#Qtype#Q:#Qmeat#Q#C#Qchannel#Q:#Qsay#Q#C#Qrole#Q:#Qmask#Q#C#Qtext#Q:#QThen#Splease:#S[break=200]#SLook#Sunder#Sthe#Scleenex#Sbox.#Q#C#Qgpt_emotion#Q:#Q#Q#C#Qgpt_tone#Q:#Q#Q#C#Qanimate#Q:{#Qpre#Q:#Q#Q#C#Qpost#Q:#Q#Q#C#Qnext_state#Q:#Q#Q}#C#Qazure#Q:{#Qstyle#Q:#QHopeful#Q#C#Qdegree#Q:0.2#C#Qpause#Q:0#C#Qpitch#Q:0#C#Qrate#Q:-3#C#Qvolume#Q:0}#C#Qemotion#Q:{#Qsadness#Q:-1#C#Qjoy#Q:-1#C#Qfear#Q:-1#C#Qdisgust#Q:-1#C#Qanger#Q:-1}#C#Qsgcom#Q:{#Qmood#Q:#Q#Q#C#Qscale#Q:-1}}</v>
      </c>
      <c r="Y51" s="40" t="s">
        <v>102</v>
      </c>
      <c r="Z51" s="36" t="str">
        <f t="shared" si="47"/>
        <v>say</v>
      </c>
      <c r="AA51" s="36"/>
      <c r="AB51" s="36" t="str" cm="1">
        <f t="array" ref="AB51">IF(C51="observe",channel_av_observe,"") &amp; IF(C51="register",channel_av_register,"")  &amp; IF(C51="listen",channel_av_listen,"")</f>
        <v/>
      </c>
      <c r="AC51" s="36" t="str">
        <f t="shared" si="55"/>
        <v/>
      </c>
      <c r="AD51" s="36" t="str">
        <f t="shared" si="56"/>
        <v/>
      </c>
      <c r="AE51" s="42" t="s">
        <v>103</v>
      </c>
      <c r="AF51" s="37" t="s">
        <v>172</v>
      </c>
      <c r="AG51" s="37"/>
      <c r="AH51" s="37" t="s">
        <v>173</v>
      </c>
      <c r="AI51" s="37"/>
      <c r="AJ51" s="114">
        <f>A51</f>
        <v>48</v>
      </c>
      <c r="AK51" s="56" t="str">
        <f>IF(AH51="","",TEXT(SUBSTITUTE(AJ51," ","_"),"000") &amp; "_" &amp; AH51)</f>
        <v>048_look_under_the_box</v>
      </c>
      <c r="AL51" s="37"/>
      <c r="AM51" s="133"/>
      <c r="AN51" s="37"/>
      <c r="AO51" s="37"/>
      <c r="AP51" s="37"/>
      <c r="AQ51" s="37"/>
      <c r="AR51" s="37"/>
      <c r="AS51" s="37"/>
      <c r="AT51" s="37"/>
      <c r="AU51" s="37"/>
      <c r="AV51" s="37"/>
      <c r="AW51" s="37"/>
      <c r="AX51" s="37"/>
      <c r="AY51" s="37"/>
      <c r="AZ51" s="37"/>
      <c r="BA51" s="37"/>
      <c r="BB51" s="37"/>
      <c r="BC51" s="41"/>
      <c r="BD51" s="42"/>
      <c r="BE51" s="42"/>
      <c r="BF51" s="41"/>
      <c r="BG51" s="104"/>
      <c r="BH51" s="104"/>
      <c r="BI51" s="108" t="s">
        <v>77</v>
      </c>
      <c r="BJ51" s="110"/>
      <c r="BK51" s="41"/>
      <c r="BL51" s="42" t="s">
        <v>149</v>
      </c>
      <c r="BM51" s="42" t="s">
        <v>116</v>
      </c>
      <c r="BN51" s="35">
        <v>0</v>
      </c>
      <c r="BO51" s="35">
        <v>0</v>
      </c>
      <c r="BP51" s="35">
        <v>-3</v>
      </c>
      <c r="BQ51" s="35">
        <v>0</v>
      </c>
      <c r="BR51" s="41"/>
      <c r="BS51" s="35">
        <v>-1</v>
      </c>
      <c r="BT51" s="35">
        <v>-1</v>
      </c>
      <c r="BU51" s="35">
        <v>-1</v>
      </c>
      <c r="BV51" s="35">
        <v>-1</v>
      </c>
      <c r="BW51" s="35">
        <v>-1</v>
      </c>
      <c r="BX51" s="41"/>
      <c r="BY51" s="34"/>
      <c r="BZ51" s="43" t="s">
        <v>165</v>
      </c>
      <c r="CA51" s="43" t="s">
        <v>165</v>
      </c>
      <c r="CB51" s="158" t="str">
        <f t="shared" si="58"/>
        <v>{"azure":{"style":"Hopeful","degree":0.2,"pause":0,"pitch":0,"rate":-3,"volume":0},"emotion":{"sadness":-1,"joy":-1,"fear":-1,"disgust":-1,"anger":-1},"sgcom":{"mood":"","scale":-1}}</v>
      </c>
      <c r="AOE51" s="28"/>
    </row>
    <row r="52" spans="1:80 1071:1071" s="27" customFormat="1">
      <c r="A52" s="32">
        <f t="shared" si="15"/>
        <v>49</v>
      </c>
      <c r="B52" s="32">
        <v>5</v>
      </c>
      <c r="C52" s="32" t="s">
        <v>73</v>
      </c>
      <c r="D52" s="32"/>
      <c r="E52" s="34" t="s">
        <v>174</v>
      </c>
      <c r="F52" s="34" t="str">
        <f t="shared" si="46"/>
        <v/>
      </c>
      <c r="G52" s="34" t="str">
        <f t="shared" si="0"/>
        <v/>
      </c>
      <c r="H52" s="116" t="str">
        <f t="shared" si="48"/>
        <v/>
      </c>
      <c r="I52" s="36" t="str">
        <f t="shared" si="2"/>
        <v>mood</v>
      </c>
      <c r="J52" s="36" t="str">
        <f t="shared" si="49"/>
        <v>{"command" : "mood","id":%id,"mood_num":"%mood_num"}</v>
      </c>
      <c r="K52" s="116" t="str">
        <f t="shared" si="27"/>
        <v>{"command" : "mood","id":49,"mood_num":"5"}</v>
      </c>
      <c r="L52" s="36"/>
      <c r="M52" s="136" t="str">
        <f t="shared" si="45"/>
        <v/>
      </c>
      <c r="N52" s="116" t="str">
        <f t="shared" si="50"/>
        <v/>
      </c>
      <c r="O52" s="129" t="str">
        <f t="shared" si="51"/>
        <v/>
      </c>
      <c r="P52" s="81"/>
      <c r="Q52" s="37" t="str">
        <f t="shared" si="52"/>
        <v/>
      </c>
      <c r="R52" s="141">
        <v>0</v>
      </c>
      <c r="S52" s="148">
        <f t="shared" si="53"/>
        <v>0</v>
      </c>
      <c r="T52" s="137">
        <f t="shared" si="54"/>
        <v>0</v>
      </c>
      <c r="U52" s="45"/>
      <c r="V52" s="35" t="str">
        <f>IF(OR(P52="",Y52=""),"",osc_exe_npmosc&amp;" --host "&amp;osc_ip&amp;":"&amp;osc_port_control&amp;" "&amp;Z52&amp; "  " &amp; j_qot &amp;X52 &amp; j_qot)</f>
        <v/>
      </c>
      <c r="W52" s="36" t="str">
        <f t="shared" si="30"/>
        <v/>
      </c>
      <c r="X52" s="36" t="str">
        <f t="shared" si="29"/>
        <v/>
      </c>
      <c r="Y52" s="34"/>
      <c r="Z52" s="36" t="str">
        <f t="shared" si="47"/>
        <v/>
      </c>
      <c r="AA52" s="36"/>
      <c r="AB52" s="36" t="str" cm="1">
        <f t="array" ref="AB52">IF(C52="observe",channel_av_observe,"") &amp; IF(C52="register",channel_av_register,"")  &amp; IF(C52="listen",channel_av_listen,"")</f>
        <v/>
      </c>
      <c r="AC52" s="36" t="str">
        <f t="shared" si="55"/>
        <v>/mood</v>
      </c>
      <c r="AD52" s="36" t="str">
        <f t="shared" si="56"/>
        <v/>
      </c>
      <c r="AE52" s="42"/>
      <c r="AF52" s="35"/>
      <c r="AG52" s="35"/>
      <c r="AH52" s="35"/>
      <c r="AI52" s="35"/>
      <c r="AJ52" s="35"/>
      <c r="AK52" s="56" t="str">
        <f t="shared" si="14"/>
        <v/>
      </c>
      <c r="AL52" s="35"/>
      <c r="AM52" s="133"/>
      <c r="AN52" s="35"/>
      <c r="AO52" s="35"/>
      <c r="AP52" s="35"/>
      <c r="AQ52" s="35"/>
      <c r="AR52" s="35"/>
      <c r="AS52" s="35"/>
      <c r="AT52" s="35"/>
      <c r="AU52" s="35"/>
      <c r="AV52" s="35"/>
      <c r="AW52" s="35"/>
      <c r="AX52" s="35"/>
      <c r="AY52" s="35"/>
      <c r="AZ52" s="35"/>
      <c r="BA52" s="35"/>
      <c r="BB52" s="35"/>
      <c r="BC52" s="44"/>
      <c r="BD52" s="42"/>
      <c r="BE52" s="35"/>
      <c r="BF52" s="44"/>
      <c r="BG52" s="108"/>
      <c r="BH52" s="108"/>
      <c r="BI52" s="108" t="s">
        <v>77</v>
      </c>
      <c r="BJ52" s="110"/>
      <c r="BK52" s="44"/>
      <c r="BL52" s="35"/>
      <c r="BM52" s="35"/>
      <c r="BN52" s="35"/>
      <c r="BO52" s="35"/>
      <c r="BP52" s="35"/>
      <c r="BQ52" s="35"/>
      <c r="BR52" s="44"/>
      <c r="BS52" s="35"/>
      <c r="BT52" s="35"/>
      <c r="BU52" s="35"/>
      <c r="BV52" s="35"/>
      <c r="BW52" s="35"/>
      <c r="BX52" s="44"/>
      <c r="BY52" s="34"/>
      <c r="BZ52" s="43"/>
      <c r="CA52" s="43"/>
      <c r="CB52" s="158" t="str">
        <f t="shared" si="58"/>
        <v/>
      </c>
      <c r="AOE52" s="28"/>
    </row>
    <row r="53" spans="1:80 1071:1071" s="27" customFormat="1">
      <c r="A53" s="32">
        <f t="shared" si="15"/>
        <v>50</v>
      </c>
      <c r="B53" s="32"/>
      <c r="C53" s="32" t="s">
        <v>85</v>
      </c>
      <c r="D53" s="32"/>
      <c r="E53" s="34" t="s">
        <v>175</v>
      </c>
      <c r="F53" s="34" t="str">
        <f t="shared" si="46"/>
        <v/>
      </c>
      <c r="G53" s="34" t="str">
        <f t="shared" si="0"/>
        <v/>
      </c>
      <c r="H53" s="116" t="str">
        <f t="shared" si="48"/>
        <v/>
      </c>
      <c r="I53" s="36" t="str">
        <f t="shared" si="2"/>
        <v/>
      </c>
      <c r="J53" s="36" t="str">
        <f t="shared" si="49"/>
        <v/>
      </c>
      <c r="K53" s="116" t="str">
        <f t="shared" si="27"/>
        <v/>
      </c>
      <c r="L53" s="36"/>
      <c r="M53" s="136" t="str">
        <f t="shared" si="45"/>
        <v/>
      </c>
      <c r="N53" s="116" t="str">
        <f t="shared" si="50"/>
        <v/>
      </c>
      <c r="O53" s="129" t="str">
        <f t="shared" si="51"/>
        <v/>
      </c>
      <c r="P53" s="81"/>
      <c r="Q53" s="37" t="str">
        <f t="shared" si="52"/>
        <v/>
      </c>
      <c r="R53" s="141"/>
      <c r="S53" s="148" t="str">
        <f t="shared" si="53"/>
        <v/>
      </c>
      <c r="T53" s="137" t="str">
        <f t="shared" si="54"/>
        <v/>
      </c>
      <c r="U53" s="45"/>
      <c r="V53" s="35" t="str">
        <f>IF(OR(P53="",Y53=""),"",osc_exe_npmosc&amp;" --host "&amp;osc_ip&amp;":"&amp;osc_port_control&amp;" "&amp;Z53&amp; "  " &amp; j_qot &amp;X53 &amp; j_qot)</f>
        <v/>
      </c>
      <c r="W53" s="36" t="str">
        <f t="shared" si="30"/>
        <v/>
      </c>
      <c r="X53" s="36" t="str">
        <f t="shared" si="29"/>
        <v/>
      </c>
      <c r="Y53" s="34"/>
      <c r="Z53" s="36" t="str">
        <f t="shared" si="47"/>
        <v/>
      </c>
      <c r="AA53" s="36"/>
      <c r="AB53" s="36" t="str" cm="1">
        <f t="array" ref="AB53">IF(C53="observe",channel_av_observe,"") &amp; IF(C53="register",channel_av_register,"")  &amp; IF(C53="listen",channel_av_listen,"")</f>
        <v>/observe</v>
      </c>
      <c r="AC53" s="36" t="str">
        <f t="shared" si="55"/>
        <v/>
      </c>
      <c r="AD53" s="36" t="str">
        <f t="shared" si="56"/>
        <v/>
      </c>
      <c r="AE53" s="42"/>
      <c r="AF53" s="35"/>
      <c r="AG53" s="35"/>
      <c r="AH53" s="35"/>
      <c r="AI53" s="35"/>
      <c r="AJ53" s="35"/>
      <c r="AK53" s="56" t="str">
        <f t="shared" si="14"/>
        <v/>
      </c>
      <c r="AL53" s="35"/>
      <c r="AM53" s="133"/>
      <c r="AN53" s="35"/>
      <c r="AO53" s="35"/>
      <c r="AP53" s="35"/>
      <c r="AQ53" s="35"/>
      <c r="AR53" s="35"/>
      <c r="AS53" s="35"/>
      <c r="AT53" s="35"/>
      <c r="AU53" s="35"/>
      <c r="AV53" s="35"/>
      <c r="AW53" s="35"/>
      <c r="AX53" s="35"/>
      <c r="AY53" s="35"/>
      <c r="AZ53" s="35"/>
      <c r="BA53" s="35"/>
      <c r="BB53" s="35"/>
      <c r="BC53" s="44"/>
      <c r="BD53" s="42"/>
      <c r="BE53" s="35"/>
      <c r="BF53" s="44"/>
      <c r="BG53" s="108"/>
      <c r="BH53" s="108"/>
      <c r="BI53" s="108" t="s">
        <v>77</v>
      </c>
      <c r="BJ53" s="110"/>
      <c r="BK53" s="44"/>
      <c r="BL53" s="35"/>
      <c r="BM53" s="35"/>
      <c r="BN53" s="35"/>
      <c r="BO53" s="35"/>
      <c r="BP53" s="35"/>
      <c r="BQ53" s="35"/>
      <c r="BR53" s="44"/>
      <c r="BS53" s="35"/>
      <c r="BT53" s="35"/>
      <c r="BU53" s="35"/>
      <c r="BV53" s="35"/>
      <c r="BW53" s="35"/>
      <c r="BX53" s="44"/>
      <c r="BY53" s="34"/>
      <c r="BZ53" s="43"/>
      <c r="CA53" s="43"/>
      <c r="CB53" s="158" t="str">
        <f t="shared" si="58"/>
        <v/>
      </c>
      <c r="AOE53" s="28"/>
    </row>
    <row r="54" spans="1:80 1071:1071" s="27" customFormat="1">
      <c r="A54" s="32">
        <f t="shared" si="15"/>
        <v>51</v>
      </c>
      <c r="B54" s="32"/>
      <c r="C54" s="32" t="s">
        <v>78</v>
      </c>
      <c r="D54" s="32"/>
      <c r="E54" s="34" t="s">
        <v>176</v>
      </c>
      <c r="F54" s="34"/>
      <c r="G54" s="34" t="str">
        <f t="shared" si="0"/>
        <v/>
      </c>
      <c r="H54" s="116" t="str">
        <f t="shared" si="48"/>
        <v/>
      </c>
      <c r="I54" s="36" t="str">
        <f t="shared" si="2"/>
        <v/>
      </c>
      <c r="J54" s="36" t="str">
        <f t="shared" si="49"/>
        <v/>
      </c>
      <c r="K54" s="116" t="str">
        <f t="shared" si="27"/>
        <v/>
      </c>
      <c r="L54" s="36"/>
      <c r="M54" s="136" t="str">
        <f t="shared" si="45"/>
        <v/>
      </c>
      <c r="N54" s="116" t="str">
        <f t="shared" si="50"/>
        <v/>
      </c>
      <c r="O54" s="129" t="str">
        <f t="shared" si="51"/>
        <v/>
      </c>
      <c r="P54" s="81"/>
      <c r="Q54" s="37" t="str">
        <f t="shared" si="52"/>
        <v/>
      </c>
      <c r="R54" s="141"/>
      <c r="S54" s="148" t="str">
        <f t="shared" si="53"/>
        <v/>
      </c>
      <c r="T54" s="137" t="str">
        <f t="shared" si="54"/>
        <v/>
      </c>
      <c r="U54" s="45"/>
      <c r="V54" s="35" t="str">
        <f>IF(OR(P54="",Y54=""),"",osc_exe_npmosc&amp;" --host "&amp;osc_ip&amp;":"&amp;osc_port_control&amp;" "&amp;Z54&amp; "  " &amp; j_qot &amp;X54 &amp; j_qot)</f>
        <v/>
      </c>
      <c r="W54" s="36" t="str">
        <f t="shared" ref="W54" si="59">IF(OR(P54="",Y54=""),"",osc_exe_sendosc&amp;" "&amp;osc_ip&amp;" "&amp; osc_port_control &amp;" "&amp;Z54&amp;" s "&amp;SUBSTITUTE(SUBSTITUTE(SUBSTITUTE(SUBSTITUTE(SUBSTITUTE(SUBSTITUTE(SUBSTITUTE(P54,"""","\"&amp;"""")," ","\ "),"}","\}"),"?","\?"),"(","\("),")","\)"),"|","\|"))</f>
        <v/>
      </c>
      <c r="X54" s="36" t="str">
        <f t="shared" ref="X54" si="60">IF(Y54&lt;&gt;"x","",IF(P54="","",SUBSTITUTE(SUBSTITUTE(SUBSTITUTE(SUBSTITUTE(P54,"""","#Q")," ","#S"),",","#C"),"'","#A")))</f>
        <v/>
      </c>
      <c r="Y54" s="34"/>
      <c r="Z54" s="36" t="str">
        <f t="shared" si="47"/>
        <v/>
      </c>
      <c r="AA54" s="36"/>
      <c r="AB54" s="36" t="str" cm="1">
        <f t="array" ref="AB54">IF(C54="observe",channel_av_observe,"") &amp; IF(C54="register",channel_av_register,"")  &amp; IF(C54="listen",channel_av_listen,"")</f>
        <v/>
      </c>
      <c r="AC54" s="36" t="str">
        <f t="shared" si="55"/>
        <v/>
      </c>
      <c r="AD54" s="36" t="str">
        <f t="shared" si="56"/>
        <v/>
      </c>
      <c r="AE54" s="42"/>
      <c r="AF54" s="35"/>
      <c r="AG54" s="35"/>
      <c r="AH54" s="35"/>
      <c r="AI54" s="35"/>
      <c r="AJ54" s="35"/>
      <c r="AK54" s="56" t="str">
        <f t="shared" ref="AK54" si="61">IF(AH54="","",TEXT(SUBSTITUTE(AJ54," ","_"),"000") &amp; "_" &amp; AH54)</f>
        <v/>
      </c>
      <c r="AL54" s="35"/>
      <c r="AM54" s="133"/>
      <c r="AN54" s="35"/>
      <c r="AO54" s="35"/>
      <c r="AP54" s="35"/>
      <c r="AQ54" s="35"/>
      <c r="AR54" s="35"/>
      <c r="AS54" s="35"/>
      <c r="AT54" s="35"/>
      <c r="AU54" s="35"/>
      <c r="AV54" s="35"/>
      <c r="AW54" s="35"/>
      <c r="AX54" s="35"/>
      <c r="AY54" s="35"/>
      <c r="AZ54" s="35"/>
      <c r="BA54" s="35"/>
      <c r="BB54" s="35"/>
      <c r="BC54" s="44"/>
      <c r="BD54" s="42"/>
      <c r="BE54" s="35"/>
      <c r="BF54" s="44"/>
      <c r="BG54" s="108"/>
      <c r="BH54" s="108"/>
      <c r="BI54" s="108"/>
      <c r="BJ54" s="110"/>
      <c r="BK54" s="44"/>
      <c r="BL54" s="35"/>
      <c r="BM54" s="35"/>
      <c r="BN54" s="35"/>
      <c r="BO54" s="35"/>
      <c r="BP54" s="35"/>
      <c r="BQ54" s="35"/>
      <c r="BR54" s="44"/>
      <c r="BS54" s="35"/>
      <c r="BT54" s="35"/>
      <c r="BU54" s="35"/>
      <c r="BV54" s="35"/>
      <c r="BW54" s="35"/>
      <c r="BX54" s="44"/>
      <c r="BY54" s="34"/>
      <c r="BZ54" s="43"/>
      <c r="CA54" s="43"/>
      <c r="CB54" s="158" t="str">
        <f t="shared" si="58"/>
        <v/>
      </c>
      <c r="AOE54" s="28"/>
    </row>
    <row r="55" spans="1:80 1071:1071" s="27" customFormat="1">
      <c r="A55" s="32">
        <f>A53+1</f>
        <v>51</v>
      </c>
      <c r="B55" s="32"/>
      <c r="C55" s="32" t="s">
        <v>100</v>
      </c>
      <c r="D55" s="32"/>
      <c r="E55" s="34" t="s">
        <v>101</v>
      </c>
      <c r="F55" s="34" t="str">
        <f>IF(A55="listen","unmute","") &amp; IF(OR(A55="speak",A55="maketext"),"mute","")</f>
        <v/>
      </c>
      <c r="G55" s="34" t="str">
        <f t="shared" si="0"/>
        <v>mute</v>
      </c>
      <c r="H55" s="116" t="str">
        <f t="shared" si="48"/>
        <v>{"av-command": "stt-control", "data": {"listening": false}}</v>
      </c>
      <c r="I55" s="36" t="str">
        <f t="shared" si="2"/>
        <v/>
      </c>
      <c r="J55" s="36" t="str">
        <f t="shared" si="49"/>
        <v/>
      </c>
      <c r="K55" s="116" t="str">
        <f t="shared" si="27"/>
        <v/>
      </c>
      <c r="L55" s="36"/>
      <c r="M55" s="136" t="str">
        <f t="shared" si="45"/>
        <v>speak</v>
      </c>
      <c r="N55" s="116" t="str">
        <f t="shared" si="50"/>
        <v>{ "command": "speak", "entity": "Eliza", "data" : { "text" : "%text"}}</v>
      </c>
      <c r="O55" s="129" t="str">
        <f t="shared" si="51"/>
        <v>{ "command": "speak", "entity": "Eliza", "data" : { "text" : "Go on. Please read it to me."}}</v>
      </c>
      <c r="P55" s="37" t="str">
        <f>IF(Y55&lt;&gt;"x","",j_opn&amp;"id"&amp;j_sep&amp;A55 &amp; j_nxt&amp;label_deepfake_name &amp; j_sep &amp; AH55 &amp; j_nxt&amp; "type" &amp; j_sep &amp; label_meat &amp; j_nxt&amp; "channel" &amp;j_sep&amp;Z55&amp;j_nxt&amp;label_role&amp;j_sep&amp;AE55&amp;j_nxt&amp;label_text&amp;j_sep&amp;AF55&amp;j_nxt&amp;label_gpt_emo&amp;j_sep&amp;BD55&amp;j_nxt&amp;label_gpt_tone&amp;j_sep&amp;BE55&amp;j_nxt&amp;label_animate&amp;j_sub_opn&amp;label_pre&amp;j_sep&amp;IF(do_anim=FALSE,"",BG55)&amp;j_nxt&amp;label_post&amp;j_sep&amp;IF(do_anim="","",BH55)&amp;j_nxt&amp;label_next_state&amp;j_sep&amp;BI55&amp;J_sub_cls&amp;label_azure&amp;j_sub_opn&amp;label_style&amp;j_sep&amp;BL55&amp;j_nxt&amp;label_degree&amp;J_sep_num&amp;BM55&amp;j_nxt_num&amp;label_pause&amp;J_sep_num&amp;BN55&amp;j_nxt_num&amp;label_pitch&amp;J_sep_num&amp;BO55&amp;j_nxt_num&amp;label_rate&amp;J_sep_num&amp;BP55&amp;j_nxt_num&amp;label_volume&amp;J_sep_num&amp;BQ55&amp;j_sub_cls_num&amp;label_emotion&amp;j_sub_opn&amp;label_sad&amp;J_sep_num&amp;BS55&amp;j_nxt_num&amp;label_joy&amp;J_sep_num&amp;BT55&amp;j_nxt_num&amp;label_fear&amp;J_sep_num&amp;BU55&amp;j_nxt_num&amp;label_disgust&amp;J_sep_num&amp;BV55&amp;j_nxt_num&amp;label_anger&amp;J_sep_num&amp;BW55&amp;j_sub_cls_num&amp;label_sg&amp;j_sub_opn&amp;label_mood&amp;j_sep&amp;BY55&amp;j_nxt&amp;label_scale&amp;J_sep_num&amp;BZ55&amp;j_end_num)</f>
        <v>{"id":"51","name":"read_it","type":"meat","channel":"say","role":"mask","text":"Go on. Please read it to me.","gpt_emotion":"","gpt_tone":"","animate":{"pre":"","post":"","next_state":""},"azure":{"style":"Friendly","degree":0.3,"pause":150,"pitch":0,"rate":-12,"volume":0},"emotion":{"sadness":-1,"joy":-1,"fear":-1,"disgust":-1,"anger":-1},"sgcom":{"mood":"","scale":-1}}</v>
      </c>
      <c r="Q55" s="37" t="str">
        <f t="shared" si="52"/>
        <v>{"id":"51","name":"read_it","type":"meat","channel":"say","role":"mask","text":"Go on. Please read it to me.","gpt_emotion":"","gpt_tone":"","animate":{"pre":"","post":"","next_state":""},"azure":{"style":"Friendly","degree":0.3,"pause":150,"pitch":0,"rate":-12,"volume":0},"emotion":{"sadness":-1,"joy":-1,"fear":-1,"disgust":-1,"anger":-1},"sgcom":{"mood":"","scale":-1}}</v>
      </c>
      <c r="R55" s="141"/>
      <c r="S55" s="148" t="str">
        <f t="shared" si="53"/>
        <v>mask_spoke</v>
      </c>
      <c r="T55" s="137" t="str">
        <f t="shared" si="54"/>
        <v>{"words-in" : { "entity" : "Eliza"} }</v>
      </c>
      <c r="U55" s="45"/>
      <c r="V55" s="35" t="str">
        <f>IF(OR(P55="",Y55=""),"",osc_exe_npmosc&amp;" --host "&amp;osc_ip&amp;":"&amp;osc_port_control&amp;" "&amp; osc_channel_meat_stub &amp; "  " &amp; j_qot &amp;X55 &amp; j_qot)</f>
        <v>/opt/homebrew/bin/osc --host 10.10.10.10:5918 /meat  "{#Qid#Q:#Q51#Q#C#Qname#Q:#Qread_it#Q#C#Qtype#Q:#Qmeat#Q#C#Qchannel#Q:#Qsay#Q#C#Qrole#Q:#Qmask#Q#C#Qtext#Q:#QGo#Son.#SPlease#Sread#Sit#Sto#Sme.#Q#C#Qgpt_emotion#Q:#Q#Q#C#Qgpt_tone#Q:#Q#Q#C#Qanimate#Q:{#Qpre#Q:#Q#Q#C#Qpost#Q:#Q#Q#C#Qnext_state#Q:#Q#Q}#C#Qazure#Q:{#Qstyle#Q:#QFriendly#Q#C#Qdegree#Q:0.3#C#Qpause#Q:150#C#Qpitch#Q:0#C#Qrate#Q:-12#C#Qvolume#Q:0}#C#Qemotion#Q:{#Qsadness#Q:-1#C#Qjoy#Q:-1#C#Qfear#Q:-1#C#Qdisgust#Q:-1#C#Qanger#Q:-1}#C#Qsgcom#Q:{#Qmood#Q:#Q#Q#C#Qscale#Q:-1}}"</v>
      </c>
      <c r="W55" s="36" t="str">
        <f t="shared" si="30"/>
        <v>/opt/homebrew/bin/sendosc 10.10.10.10 5918 say s {\"id\":\"51\",\"name\":\"read_it\",\"type\":\"meat\",\"channel\":\"say\",\"role\":\"mask\",\"text\":\"Go\ on.\ Please\ read\ it\ to\ me.\",\"gpt_emotion\":\"\",\"gpt_tone\":\"\",\"animate\":{\"pre\":\"\",\"post\":\"\",\"next_state\":\"\"\},\"azure\":{\"style\":\"Friendly\",\"degree\":0.3,\"pause\":150,\"pitch\":0,\"rate\":-12,\"volume\":0\},\"emotion\":{\"sadness\":-1,\"joy\":-1,\"fear\":-1,\"disgust\":-1,\"anger\":-1\},\"sgcom\":{\"mood\":\"\",\"scale\":-1\}\}</v>
      </c>
      <c r="X55" s="36" t="str">
        <f t="shared" si="29"/>
        <v>{#Qid#Q:#Q51#Q#C#Qname#Q:#Qread_it#Q#C#Qtype#Q:#Qmeat#Q#C#Qchannel#Q:#Qsay#Q#C#Qrole#Q:#Qmask#Q#C#Qtext#Q:#QGo#Son.#SPlease#Sread#Sit#Sto#Sme.#Q#C#Qgpt_emotion#Q:#Q#Q#C#Qgpt_tone#Q:#Q#Q#C#Qanimate#Q:{#Qpre#Q:#Q#Q#C#Qpost#Q:#Q#Q#C#Qnext_state#Q:#Q#Q}#C#Qazure#Q:{#Qstyle#Q:#QFriendly#Q#C#Qdegree#Q:0.3#C#Qpause#Q:150#C#Qpitch#Q:0#C#Qrate#Q:-12#C#Qvolume#Q:0}#C#Qemotion#Q:{#Qsadness#Q:-1#C#Qjoy#Q:-1#C#Qfear#Q:-1#C#Qdisgust#Q:-1#C#Qanger#Q:-1}#C#Qsgcom#Q:{#Qmood#Q:#Q#Q#C#Qscale#Q:-1}}</v>
      </c>
      <c r="Y55" s="40" t="s">
        <v>102</v>
      </c>
      <c r="Z55" s="36" t="str">
        <f t="shared" si="47"/>
        <v>say</v>
      </c>
      <c r="AA55" s="36"/>
      <c r="AB55" s="36" t="str" cm="1">
        <f t="array" ref="AB55">IF(C55="observe",channel_av_observe,"") &amp; IF(C55="register",channel_av_register,"")  &amp; IF(C55="listen",channel_av_listen,"")</f>
        <v/>
      </c>
      <c r="AC55" s="36" t="str">
        <f t="shared" si="55"/>
        <v/>
      </c>
      <c r="AD55" s="36" t="str">
        <f t="shared" si="56"/>
        <v/>
      </c>
      <c r="AE55" s="42" t="s">
        <v>103</v>
      </c>
      <c r="AF55" s="37" t="s">
        <v>177</v>
      </c>
      <c r="AG55" s="37"/>
      <c r="AH55" s="37" t="s">
        <v>178</v>
      </c>
      <c r="AI55" s="37"/>
      <c r="AJ55" s="114">
        <f>A55</f>
        <v>51</v>
      </c>
      <c r="AK55" s="56" t="str">
        <f>IF(AH55="","",TEXT(SUBSTITUTE(AJ55," ","_"),"000") &amp; "_" &amp; AH55)</f>
        <v>051_read_it</v>
      </c>
      <c r="AL55" s="37"/>
      <c r="AM55" s="133"/>
      <c r="AN55" s="37"/>
      <c r="AO55" s="37"/>
      <c r="AP55" s="37"/>
      <c r="AQ55" s="37"/>
      <c r="AR55" s="37"/>
      <c r="AS55" s="37"/>
      <c r="AT55" s="37"/>
      <c r="AU55" s="37"/>
      <c r="AV55" s="37"/>
      <c r="AW55" s="37"/>
      <c r="AX55" s="37"/>
      <c r="AY55" s="37"/>
      <c r="AZ55" s="37"/>
      <c r="BA55" s="37"/>
      <c r="BB55" s="37"/>
      <c r="BC55" s="41"/>
      <c r="BD55" s="42"/>
      <c r="BE55" s="42"/>
      <c r="BF55" s="41"/>
      <c r="BG55" s="108"/>
      <c r="BH55" s="108"/>
      <c r="BI55" s="108" t="s">
        <v>77</v>
      </c>
      <c r="BJ55" s="110"/>
      <c r="BK55" s="41"/>
      <c r="BL55" s="42" t="s">
        <v>130</v>
      </c>
      <c r="BM55" s="42" t="s">
        <v>115</v>
      </c>
      <c r="BN55" s="35">
        <v>150</v>
      </c>
      <c r="BO55" s="35">
        <v>0</v>
      </c>
      <c r="BP55" s="35">
        <v>-12</v>
      </c>
      <c r="BQ55" s="35">
        <v>0</v>
      </c>
      <c r="BR55" s="41"/>
      <c r="BS55" s="35">
        <v>-1</v>
      </c>
      <c r="BT55" s="35">
        <v>-1</v>
      </c>
      <c r="BU55" s="35">
        <v>-1</v>
      </c>
      <c r="BV55" s="35">
        <v>-1</v>
      </c>
      <c r="BW55" s="35">
        <v>-1</v>
      </c>
      <c r="BX55" s="41"/>
      <c r="BY55" s="34"/>
      <c r="BZ55" s="43" t="s">
        <v>165</v>
      </c>
      <c r="CA55" s="43" t="s">
        <v>165</v>
      </c>
      <c r="CB55" s="158" t="str">
        <f t="shared" si="58"/>
        <v>{"azure":{"style":"Friendly","degree":0.3,"pause":150,"pitch":0,"rate":-12,"volume":0},"emotion":{"sadness":-1,"joy":-1,"fear":-1,"disgust":-1,"anger":-1},"sgcom":{"mood":"","scale":-1}}</v>
      </c>
      <c r="AOE55" s="28"/>
    </row>
    <row r="56" spans="1:80 1071:1071" s="27" customFormat="1">
      <c r="A56" s="32">
        <f>A55+1</f>
        <v>52</v>
      </c>
      <c r="B56" s="32"/>
      <c r="C56" s="32" t="s">
        <v>109</v>
      </c>
      <c r="D56" s="32"/>
      <c r="E56" s="34" t="s">
        <v>110</v>
      </c>
      <c r="F56" s="34" t="str">
        <f>IF(A56="listen","unmute","") &amp; IF(OR(A56="speak",A56="maketext"),"mute","")</f>
        <v/>
      </c>
      <c r="G56" s="34" t="str">
        <f t="shared" si="0"/>
        <v>unmute</v>
      </c>
      <c r="H56" s="116" t="str">
        <f t="shared" si="48"/>
        <v>{"av-command": "stt-control", "data": {"listening": true}}</v>
      </c>
      <c r="I56" s="36" t="str">
        <f t="shared" si="2"/>
        <v/>
      </c>
      <c r="J56" s="36" t="str">
        <f t="shared" si="49"/>
        <v/>
      </c>
      <c r="K56" s="116" t="str">
        <f t="shared" si="27"/>
        <v/>
      </c>
      <c r="L56" s="36"/>
      <c r="M56" s="136" t="str">
        <f t="shared" si="45"/>
        <v>mute</v>
      </c>
      <c r="N56" s="116" t="str">
        <f t="shared" si="50"/>
        <v>{ "command": "mute", "entity": "Eliza", "data" : null}</v>
      </c>
      <c r="O56" s="129" t="str">
        <f t="shared" si="51"/>
        <v>{ "command": "mute", "entity": "Eliza", "data" : null}</v>
      </c>
      <c r="P56" s="81"/>
      <c r="Q56" s="37" t="str">
        <f t="shared" si="52"/>
        <v/>
      </c>
      <c r="R56" s="141"/>
      <c r="S56" s="148" t="str">
        <f t="shared" si="53"/>
        <v>user_spoke</v>
      </c>
      <c r="T56" s="137" t="str">
        <f t="shared" si="54"/>
        <v>{"words-in" : { "entity" : "user"} }</v>
      </c>
      <c r="U56" s="45"/>
      <c r="V56" s="35" t="str">
        <f>IF(OR(P56="",Y56=""),"",osc_exe_npmosc&amp;" --host "&amp;osc_ip&amp;":"&amp;osc_port_control&amp;" "&amp;Z56&amp; "  " &amp; j_qot &amp;X56 &amp; j_qot)</f>
        <v/>
      </c>
      <c r="W56" s="36" t="str">
        <f t="shared" si="30"/>
        <v/>
      </c>
      <c r="X56" s="36" t="str">
        <f t="shared" si="29"/>
        <v/>
      </c>
      <c r="Y56" s="34"/>
      <c r="Z56" s="36" t="str">
        <f t="shared" si="47"/>
        <v/>
      </c>
      <c r="AA56" s="36"/>
      <c r="AB56" s="36" t="str" cm="1">
        <f t="array" ref="AB56">IF(C56="observe",channel_av_observe,"") &amp; IF(C56="register",channel_av_register,"")  &amp; IF(C56="listen",channel_av_listen,"")</f>
        <v>/listen</v>
      </c>
      <c r="AC56" s="36" t="str">
        <f t="shared" si="55"/>
        <v/>
      </c>
      <c r="AD56" s="36" t="str">
        <f t="shared" si="56"/>
        <v/>
      </c>
      <c r="AE56" s="42"/>
      <c r="AF56" s="46" t="s">
        <v>179</v>
      </c>
      <c r="AG56" s="46"/>
      <c r="AH56" s="47"/>
      <c r="AI56" s="47"/>
      <c r="AJ56" s="47"/>
      <c r="AK56" s="56" t="str">
        <f t="shared" si="14"/>
        <v/>
      </c>
      <c r="AL56" s="47"/>
      <c r="AM56" s="133"/>
      <c r="AN56" s="47"/>
      <c r="AO56" s="47"/>
      <c r="AP56" s="47"/>
      <c r="AQ56" s="47"/>
      <c r="AR56" s="47"/>
      <c r="AS56" s="47"/>
      <c r="AT56" s="47"/>
      <c r="AU56" s="47"/>
      <c r="AV56" s="47"/>
      <c r="AW56" s="47"/>
      <c r="AX56" s="47"/>
      <c r="AY56" s="47"/>
      <c r="AZ56" s="47"/>
      <c r="BA56" s="47"/>
      <c r="BB56" s="47"/>
      <c r="BC56" s="48"/>
      <c r="BD56" s="42"/>
      <c r="BE56" s="35"/>
      <c r="BF56" s="48"/>
      <c r="BG56" s="108"/>
      <c r="BH56" s="108"/>
      <c r="BI56" s="108" t="s">
        <v>77</v>
      </c>
      <c r="BJ56" s="110"/>
      <c r="BK56" s="48"/>
      <c r="BL56" s="47"/>
      <c r="BM56" s="35"/>
      <c r="BN56" s="35"/>
      <c r="BO56" s="35"/>
      <c r="BP56" s="35"/>
      <c r="BQ56" s="35"/>
      <c r="BR56" s="48"/>
      <c r="BS56" s="35"/>
      <c r="BT56" s="35"/>
      <c r="BU56" s="35"/>
      <c r="BV56" s="35"/>
      <c r="BW56" s="35"/>
      <c r="BX56" s="48"/>
      <c r="BY56" s="34"/>
      <c r="BZ56" s="43"/>
      <c r="CA56" s="43"/>
      <c r="CB56" s="158" t="str">
        <f t="shared" si="58"/>
        <v/>
      </c>
      <c r="AOE56" s="28"/>
    </row>
    <row r="57" spans="1:80 1071:1071" s="27" customFormat="1">
      <c r="A57" s="32">
        <f t="shared" si="15"/>
        <v>53</v>
      </c>
      <c r="B57" s="32">
        <f>B16</f>
        <v>4</v>
      </c>
      <c r="C57" s="32" t="s">
        <v>73</v>
      </c>
      <c r="D57" s="32"/>
      <c r="E57" s="34" t="str">
        <f>E16</f>
        <v>main lights</v>
      </c>
      <c r="F57" s="34" t="str">
        <f t="shared" ref="F57" si="62">IF(A57="listen","unmute","") &amp; IF(OR(A57="speak",A57="maketext"),"mute","")</f>
        <v/>
      </c>
      <c r="G57" s="34" t="str">
        <f t="shared" ref="G57" si="63">IF(F57&lt;&gt;"",F57, IF(C57="listen","unmute","") &amp; IF(OR(C57="speak",C57="maketext",C57="play",C57="screen"),"mute","") )</f>
        <v/>
      </c>
      <c r="H57" s="116" t="str">
        <f t="shared" ref="H57" si="64">IFERROR(LOOKUP(G57, table_observe_commands),"")</f>
        <v/>
      </c>
      <c r="I57" s="36" t="str">
        <f t="shared" ref="I57" si="65">IF(C57="screen","fakeplay","") &amp; IF(C57="mood","mood","") &amp; IF(C57="fakemake","fakemake","")</f>
        <v>mood</v>
      </c>
      <c r="J57" s="36" t="str">
        <f t="shared" ref="J57" si="66">IFERROR(LOOKUP(I57, table_td_commands),"")</f>
        <v>{"command" : "mood","id":%id,"mood_num":"%mood_num"}</v>
      </c>
      <c r="K57" s="116" t="str">
        <f t="shared" ref="K57" si="67">SUBSTITUTE(SUBSTITUTE(SUBSTITUTE(SUBSTITUTE(SUBSTITUTE(J57,"%id",A57),"%screens",D57),"%data",IF(P57="","{}",P57)),"%mood_num",B57),"%sound_name",AK57)</f>
        <v>{"command" : "mood","id":53,"mood_num":"4"}</v>
      </c>
      <c r="L57" s="36"/>
      <c r="M57" s="136" t="str">
        <f t="shared" ref="M57" si="68">IF(L57&lt;&gt;"",L57,IF(C57="maketext","unmute","")&amp;IF(C57="speak","speak","")&amp;IF(C57="listen","mute",""))</f>
        <v/>
      </c>
      <c r="N57" s="116" t="str">
        <f t="shared" ref="N57" si="69">IFERROR(LOOKUP(M57, table_bot_commands),"")</f>
        <v/>
      </c>
      <c r="O57" s="129" t="str">
        <f t="shared" ref="O57" si="70">SUBSTITUTE(SUBSTITUTE(N57,"%prompt",""&amp;AG57&amp;""),"%text",AF57)</f>
        <v/>
      </c>
      <c r="P57" s="81"/>
      <c r="Q57" s="37" t="str">
        <f t="shared" ref="Q57" si="71">IF(AND(C57&lt;&gt;"speak_gpt",C57&lt;&gt;"faketomask"),P57,"") &amp; IF(C57="maketext",j_opn&amp;"id"&amp;j_sep&amp;A57 &amp; j_nxt &amp; "type" &amp; j_sep &amp; label_meat &amp; j_nxt&amp; "channel" &amp;j_sep  &amp; Z57&amp; j_nxt&amp; "state" &amp; j_sep &amp; "think" &amp; j_qot &amp; j_cls,"")</f>
        <v/>
      </c>
      <c r="R57" s="141">
        <v>0</v>
      </c>
      <c r="S57" s="148">
        <f t="shared" ref="S57" si="72">IF(R57&lt;&gt;"", R57, IF(OR(C57="speak",C57="speak_gpt",C57="play"),trigger_mask_spoke,"") &amp; IF(C57="listen",trigger_user_spoke,"") &amp; IF(C57="maketext","mask_generated","") &amp; IF(C57="screen","clone_spoke","") )</f>
        <v>0</v>
      </c>
      <c r="T57" s="137">
        <f t="shared" ref="T57" si="73">IFERROR(LOOKUP(S57,table_triggers),S57)</f>
        <v>0</v>
      </c>
      <c r="U57" s="45"/>
      <c r="V57" s="35" t="str">
        <f>IF(OR(P57="",Y57=""),"",osc_exe_npmosc&amp;" --host "&amp;osc_ip&amp;":"&amp;osc_port_control&amp;" "&amp;Z57&amp; "  " &amp; j_qot &amp;X57 &amp; j_qot)</f>
        <v/>
      </c>
      <c r="W57" s="36" t="str">
        <f t="shared" ref="W57" si="74">IF(OR(P57="",Y57=""),"",osc_exe_sendosc&amp;" "&amp;osc_ip&amp;" "&amp; osc_port_control &amp;" "&amp;Z57&amp;" s "&amp;SUBSTITUTE(SUBSTITUTE(SUBSTITUTE(SUBSTITUTE(SUBSTITUTE(SUBSTITUTE(SUBSTITUTE(P57,"""","\"&amp;"""")," ","\ "),"}","\}"),"?","\?"),"(","\("),")","\)"),"|","\|"))</f>
        <v/>
      </c>
      <c r="X57" s="36" t="str">
        <f t="shared" ref="X57" si="75">IF(Y57&lt;&gt;"x","",IF(P57="","",SUBSTITUTE(SUBSTITUTE(SUBSTITUTE(SUBSTITUTE(P57,"""","#Q")," ","#S"),",","#C"),"'","#A")))</f>
        <v/>
      </c>
      <c r="Y57" s="34"/>
      <c r="Z57" s="36" t="str">
        <f t="shared" si="47"/>
        <v/>
      </c>
      <c r="AA57" s="36"/>
      <c r="AB57" s="36" t="str" cm="1">
        <f t="array" ref="AB57">IF(C57="observe",channel_av_observe,"") &amp; IF(C57="register",channel_av_register,"")  &amp; IF(C57="listen",channel_av_listen,"")</f>
        <v/>
      </c>
      <c r="AC57" s="36" t="str">
        <f t="shared" ref="AC57" si="76">IF(C57="mood",channel_td_mood,"") &amp; IF(C57="makefakes_td",channel_td_makefakes,"") &amp; IF(C57="pause",channel_td_pause,"")  &amp; IF(C57="screen",channel_td_screen,"")</f>
        <v>/mood</v>
      </c>
      <c r="AD57" s="36" t="str">
        <f t="shared" ref="AD57" si="77">IF(C57="maketext",channel_bw_generate,"")</f>
        <v/>
      </c>
      <c r="AE57" s="42"/>
      <c r="AF57" s="35"/>
      <c r="AG57" s="35"/>
      <c r="AH57" s="35"/>
      <c r="AI57" s="35"/>
      <c r="AJ57" s="35"/>
      <c r="AK57" s="56" t="str">
        <f t="shared" ref="AK57" si="78">IF(AH57="","",TEXT(SUBSTITUTE(AJ57," ","_"),"000") &amp; "_" &amp; AH57)</f>
        <v/>
      </c>
      <c r="AL57" s="35"/>
      <c r="AM57" s="133"/>
      <c r="AN57" s="35"/>
      <c r="AO57" s="35"/>
      <c r="AP57" s="35"/>
      <c r="AQ57" s="35"/>
      <c r="AR57" s="35"/>
      <c r="AS57" s="35"/>
      <c r="AT57" s="35"/>
      <c r="AU57" s="35"/>
      <c r="AV57" s="35"/>
      <c r="AW57" s="35"/>
      <c r="AX57" s="35"/>
      <c r="AY57" s="35"/>
      <c r="AZ57" s="35"/>
      <c r="BA57" s="35"/>
      <c r="BB57" s="35"/>
      <c r="BC57" s="44"/>
      <c r="BD57" s="42"/>
      <c r="BE57" s="35"/>
      <c r="BF57" s="44"/>
      <c r="BG57" s="108"/>
      <c r="BH57" s="108"/>
      <c r="BI57" s="108" t="s">
        <v>77</v>
      </c>
      <c r="BJ57" s="110"/>
      <c r="BK57" s="44"/>
      <c r="BL57" s="35"/>
      <c r="BM57" s="35"/>
      <c r="BN57" s="35"/>
      <c r="BO57" s="35"/>
      <c r="BP57" s="35"/>
      <c r="BQ57" s="35"/>
      <c r="BR57" s="44"/>
      <c r="BS57" s="35"/>
      <c r="BT57" s="35"/>
      <c r="BU57" s="35"/>
      <c r="BV57" s="35"/>
      <c r="BW57" s="35"/>
      <c r="BX57" s="44"/>
      <c r="BY57" s="34"/>
      <c r="BZ57" s="43"/>
      <c r="CA57" s="43"/>
      <c r="CB57" s="158" t="str">
        <f t="shared" si="58"/>
        <v/>
      </c>
      <c r="AOE57" s="28"/>
    </row>
    <row r="58" spans="1:80 1071:1071" s="27" customFormat="1" ht="30">
      <c r="A58" s="32">
        <f>A57+1</f>
        <v>54</v>
      </c>
      <c r="B58" s="32"/>
      <c r="C58" s="32" t="s">
        <v>180</v>
      </c>
      <c r="D58" s="32"/>
      <c r="E58" s="33" t="s">
        <v>181</v>
      </c>
      <c r="F58" s="34" t="str">
        <f t="shared" ref="F58:F89" si="79">IF(A58="listen","unmute","") &amp; IF(OR(A58="speak",A58="maketext"),"mute","")</f>
        <v/>
      </c>
      <c r="G58" s="34" t="str">
        <f t="shared" si="0"/>
        <v/>
      </c>
      <c r="H58" s="116" t="str">
        <f t="shared" si="48"/>
        <v/>
      </c>
      <c r="I58" s="36" t="str">
        <f t="shared" si="2"/>
        <v>fakemake</v>
      </c>
      <c r="J58" s="36" t="str">
        <f t="shared" si="49"/>
        <v>{"command" : "makefake","id":%id,"data":%data}</v>
      </c>
      <c r="K58" s="116" t="str">
        <f t="shared" si="27"/>
        <v>{"command" : "makefake","id":54,"data":[{"text":{"en":"Sometimes,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L58" s="36"/>
      <c r="M58" s="136" t="str">
        <f t="shared" si="45"/>
        <v/>
      </c>
      <c r="N58" s="116" t="str">
        <f t="shared" si="50"/>
        <v/>
      </c>
      <c r="O58" s="129" t="str">
        <f t="shared" ref="O58:O89" si="80">SUBSTITUTE(SUBSTITUTE(N58,"%prompt",""&amp;AG58&amp;""),"%text",AF58)</f>
        <v/>
      </c>
      <c r="P58" s="37" t="str">
        <f xml:space="preserve"> j_opn_brak &amp;P59&amp;j_com&amp;P59&amp;j_com&amp;P60&amp;j_com&amp;P61&amp;j_com&amp;P62&amp;j_com&amp;P63&amp;j_com&amp;P64&amp;j_cls_brak</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Q58" s="37" t="str">
        <f>IF(AND(C58&lt;&gt;"speak_gpt",C58&lt;&gt;"makefakes"),P58,"") &amp; IF(C58="maketext",j_opn&amp;"id"&amp;j_sep&amp;A58 &amp; j_nxt &amp; "type" &amp; j_sep &amp; label_meat &amp; j_nxt&amp; "channel" &amp;j_sep  &amp; Z58&amp; j_nxt&amp; "state" &amp; j_sep &amp; "think" &amp; j_qot &amp; j_cls,"")</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R58" s="141">
        <v>0</v>
      </c>
      <c r="S58" s="148">
        <f t="shared" si="53"/>
        <v>0</v>
      </c>
      <c r="T58" s="137">
        <f t="shared" si="54"/>
        <v>0</v>
      </c>
      <c r="U58" s="45"/>
      <c r="V58" s="35" t="str">
        <f t="shared" ref="V58:V64" si="81">IF(OR(P58="",Y58=""),"",osc_exe_npmosc&amp;" --host "&amp;osc_ip&amp;":"&amp;osc_port_control&amp;" "&amp;Z58&amp; "  " &amp; j_qot &amp;X58 &amp; j_qot)</f>
        <v/>
      </c>
      <c r="W58" s="36" t="str">
        <f t="shared" ref="W58:W89" si="82">IF(OR(P58="",Y58=""),"",osc_exe_sendosc&amp;" "&amp;osc_ip&amp;" "&amp; osc_port_control &amp;" "&amp;Z58&amp;" s "&amp;SUBSTITUTE(SUBSTITUTE(SUBSTITUTE(SUBSTITUTE(SUBSTITUTE(SUBSTITUTE(SUBSTITUTE(P58,"""","\"&amp;"""")," ","\ "),"}","\}"),"?","\?"),"(","\("),")","\)"),"|","\|"))</f>
        <v/>
      </c>
      <c r="X58" s="36" t="str">
        <f t="shared" ref="X58:X89" si="83">IF(Y58&lt;&gt;"x","",IF(P58="","",SUBSTITUTE(SUBSTITUTE(SUBSTITUTE(SUBSTITUTE(P58,"""","#Q")," ","#S"),",","#C"),"'","#A")))</f>
        <v/>
      </c>
      <c r="Y58" s="34"/>
      <c r="Z58" s="36" t="str">
        <f t="shared" si="47"/>
        <v/>
      </c>
      <c r="AA58" s="36"/>
      <c r="AB58" s="36" t="str" cm="1">
        <f t="array" ref="AB58">IF(C58="observe",channel_av_observe,"") &amp; IF(C58="register",channel_av_register,"")  &amp; IF(C58="listen",channel_av_listen,"")</f>
        <v/>
      </c>
      <c r="AC58" s="36" t="str">
        <f t="shared" si="55"/>
        <v/>
      </c>
      <c r="AD58" s="36" t="str">
        <f t="shared" si="56"/>
        <v/>
      </c>
      <c r="AE58" s="42"/>
      <c r="AF58" s="35"/>
      <c r="AG58" s="35"/>
      <c r="AH58" s="35"/>
      <c r="AI58" s="35"/>
      <c r="AJ58" s="35"/>
      <c r="AK58" s="56" t="str">
        <f t="shared" si="14"/>
        <v/>
      </c>
      <c r="AL58" s="35"/>
      <c r="AM58" s="133" t="str">
        <f>j_opn_brak &amp;P59&amp;j_com&amp;P59&amp;j_com&amp;P60&amp;j_com&amp;P61&amp;j_com&amp;P62&amp;j_com&amp;P63&amp;j_com&amp;P64&amp;j_cls_brak</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AN58" s="35"/>
      <c r="AO58" s="35"/>
      <c r="AP58" s="35"/>
      <c r="AQ58" s="35"/>
      <c r="AR58" s="35"/>
      <c r="AS58" s="35"/>
      <c r="AT58" s="35"/>
      <c r="AU58" s="35"/>
      <c r="AV58" s="35"/>
      <c r="AW58" s="35"/>
      <c r="AX58" s="35"/>
      <c r="AY58" s="35"/>
      <c r="AZ58" s="35"/>
      <c r="BA58" s="35"/>
      <c r="BB58" s="35"/>
      <c r="BC58" s="44"/>
      <c r="BD58" s="42"/>
      <c r="BE58" s="35"/>
      <c r="BF58" s="44"/>
      <c r="BG58" s="108"/>
      <c r="BH58" s="108"/>
      <c r="BI58" s="108" t="s">
        <v>77</v>
      </c>
      <c r="BJ58" s="110"/>
      <c r="BK58" s="44"/>
      <c r="BL58" s="35"/>
      <c r="BM58" s="35"/>
      <c r="BN58" s="35"/>
      <c r="BO58" s="35"/>
      <c r="BP58" s="35"/>
      <c r="BQ58" s="35"/>
      <c r="BR58" s="44"/>
      <c r="BS58" s="35"/>
      <c r="BT58" s="35"/>
      <c r="BU58" s="35"/>
      <c r="BV58" s="35"/>
      <c r="BW58" s="35"/>
      <c r="BX58" s="44"/>
      <c r="BY58" s="34"/>
      <c r="BZ58" s="43"/>
      <c r="CA58" s="43"/>
      <c r="CB58" s="158" t="str">
        <f t="shared" si="58"/>
        <v/>
      </c>
      <c r="AOE58" s="28"/>
    </row>
    <row r="59" spans="1:80 1071:1071" s="27" customFormat="1">
      <c r="A59" s="32">
        <f t="shared" si="15"/>
        <v>55</v>
      </c>
      <c r="B59" s="32"/>
      <c r="C59" s="32" t="s">
        <v>182</v>
      </c>
      <c r="D59" s="32"/>
      <c r="E59" s="34" t="s">
        <v>183</v>
      </c>
      <c r="F59" s="34" t="str">
        <f t="shared" si="79"/>
        <v/>
      </c>
      <c r="G59" s="34" t="str">
        <f t="shared" si="0"/>
        <v/>
      </c>
      <c r="H59" s="116" t="str">
        <f t="shared" si="48"/>
        <v/>
      </c>
      <c r="I59" s="36" t="str">
        <f t="shared" si="2"/>
        <v/>
      </c>
      <c r="J59" s="36" t="str">
        <f t="shared" si="49"/>
        <v/>
      </c>
      <c r="K59" s="116" t="str">
        <f t="shared" si="27"/>
        <v/>
      </c>
      <c r="L59" s="36"/>
      <c r="M59" s="136" t="str">
        <f t="shared" si="45"/>
        <v/>
      </c>
      <c r="N59" s="116" t="str">
        <f t="shared" si="50"/>
        <v/>
      </c>
      <c r="O59" s="129" t="str">
        <f t="shared" si="80"/>
        <v/>
      </c>
      <c r="P59" s="37" t="str">
        <f t="shared" ref="P59:P64" si="84" xml:space="preserve"> j_opn&amp;label_text &amp; j_sub_opn &amp; label_deepfake_en &amp; j_sep &amp; AN59 &amp; j_nxt &amp; label_deepfake_de &amp;j_sep &amp; AO59 &amp;J_sub_cls &amp; label_deepfake_filename &amp;j_sep &amp; AK59 &amp; j_nxt &amp; label_deepfake_id  &amp; J_sep_num &amp; AJ59 &amp; IF(AP59="","", j_com &amp; AP59) &amp;  j_cls</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v>
      </c>
      <c r="Q59" s="37" t="str">
        <f t="shared" si="52"/>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v>
      </c>
      <c r="R59" s="141"/>
      <c r="S59" s="148" t="str">
        <f t="shared" si="53"/>
        <v/>
      </c>
      <c r="T59" s="137" t="str">
        <f t="shared" si="54"/>
        <v/>
      </c>
      <c r="U59" s="45"/>
      <c r="V59" s="35" t="str">
        <f t="shared" si="81"/>
        <v/>
      </c>
      <c r="W59" s="36" t="str">
        <f t="shared" si="82"/>
        <v/>
      </c>
      <c r="X59" s="36" t="str">
        <f t="shared" si="83"/>
        <v/>
      </c>
      <c r="Y59" s="34"/>
      <c r="Z59" s="36" t="str">
        <f t="shared" si="47"/>
        <v/>
      </c>
      <c r="AA59" s="36"/>
      <c r="AB59" s="36" t="str" cm="1">
        <f t="array" ref="AB59">IF(C59="observe",channel_av_observe,"") &amp; IF(C59="register",channel_av_register,"")  &amp; IF(C59="listen",channel_av_listen,"")</f>
        <v/>
      </c>
      <c r="AC59" s="36" t="str">
        <f t="shared" si="55"/>
        <v/>
      </c>
      <c r="AD59" s="36" t="str">
        <f t="shared" si="56"/>
        <v/>
      </c>
      <c r="AE59" s="42"/>
      <c r="AF59" s="56"/>
      <c r="AG59" s="56"/>
      <c r="AH59" s="56" t="s">
        <v>184</v>
      </c>
      <c r="AI59" s="56"/>
      <c r="AJ59" s="57">
        <f>A84</f>
        <v>80</v>
      </c>
      <c r="AK59" s="56" t="str">
        <f>IF(AH59="","",TEXT(SUBSTITUTE(AJ59," ","_"),"000") &amp; "_" &amp; AH59)</f>
        <v>080_hallucination</v>
      </c>
      <c r="AL59" s="56" t="str">
        <f t="shared" ref="AL59:AL64" si="85">IF(AK59="","",  AK59 &amp; ".mp3")</f>
        <v>080_hallucination.mp3</v>
      </c>
      <c r="AM59" s="133"/>
      <c r="AN59" s="56" t="s">
        <v>185</v>
      </c>
      <c r="AO59" s="56" t="s">
        <v>186</v>
      </c>
      <c r="AP59" s="56" t="str">
        <f t="shared" ref="AP59:AP64" si="86">IF(AQ59="","",j_qot &amp; label_fake_expressions &amp; J_sep_num &amp; j_opn_brak &amp; AQ59 &amp; IF(AU59="","",j_com &amp; AU59)  &amp; IF(AY59="","",j_com &amp; AY59)  &amp; j_cls_brak)</f>
        <v>"expressions":[{"expression":"serious","start_frame":0,"intensity":1}]</v>
      </c>
      <c r="AQ59" s="56" t="str">
        <f t="shared" ref="AQ59:AQ64" si="87">IF(AR59="","",j_opn &amp; label_fake_expression &amp; j_sep &amp; AR59 &amp; j_nxt &amp; label_fake_start_frame &amp; J_sep_num &amp; AS59 &amp; j_nxt_num &amp; label_fake_intensity &amp; J_sep_num &amp; AT59 &amp; j_cls)</f>
        <v>{"expression":"serious","start_frame":0,"intensity":1}</v>
      </c>
      <c r="AR59" s="56" t="s">
        <v>187</v>
      </c>
      <c r="AS59" s="56">
        <v>0</v>
      </c>
      <c r="AT59" s="56">
        <v>1</v>
      </c>
      <c r="AU59" s="56"/>
      <c r="AV59" s="56"/>
      <c r="AW59" s="56"/>
      <c r="AX59" s="56"/>
      <c r="AY59" s="56"/>
      <c r="AZ59" s="56"/>
      <c r="BA59" s="56"/>
      <c r="BB59" s="56"/>
      <c r="BC59" s="58"/>
      <c r="BD59" s="42"/>
      <c r="BE59" s="35"/>
      <c r="BF59" s="58"/>
      <c r="BG59" s="108"/>
      <c r="BH59" s="108"/>
      <c r="BI59" s="108" t="s">
        <v>77</v>
      </c>
      <c r="BJ59" s="110"/>
      <c r="BK59" s="58"/>
      <c r="BL59" s="56"/>
      <c r="BM59" s="35"/>
      <c r="BN59" s="35"/>
      <c r="BO59" s="35"/>
      <c r="BP59" s="35"/>
      <c r="BQ59" s="35"/>
      <c r="BR59" s="58"/>
      <c r="BS59" s="35"/>
      <c r="BT59" s="35"/>
      <c r="BU59" s="35"/>
      <c r="BV59" s="35"/>
      <c r="BW59" s="35"/>
      <c r="BX59" s="58"/>
      <c r="BY59" s="34"/>
      <c r="BZ59" s="43"/>
      <c r="CA59" s="43"/>
      <c r="CB59" s="158" t="str">
        <f t="shared" si="58"/>
        <v/>
      </c>
      <c r="AOE59" s="28"/>
    </row>
    <row r="60" spans="1:80 1071:1071" s="27" customFormat="1">
      <c r="A60" s="32">
        <f t="shared" si="15"/>
        <v>56</v>
      </c>
      <c r="B60" s="32"/>
      <c r="C60" s="32" t="s">
        <v>182</v>
      </c>
      <c r="D60" s="32"/>
      <c r="E60" s="34" t="s">
        <v>183</v>
      </c>
      <c r="F60" s="34" t="str">
        <f t="shared" si="79"/>
        <v/>
      </c>
      <c r="G60" s="34" t="str">
        <f t="shared" si="0"/>
        <v/>
      </c>
      <c r="H60" s="116" t="str">
        <f t="shared" si="48"/>
        <v/>
      </c>
      <c r="I60" s="36" t="str">
        <f t="shared" si="2"/>
        <v/>
      </c>
      <c r="J60" s="36" t="str">
        <f t="shared" si="49"/>
        <v/>
      </c>
      <c r="K60" s="116" t="str">
        <f t="shared" si="27"/>
        <v/>
      </c>
      <c r="L60" s="36"/>
      <c r="M60" s="136" t="str">
        <f t="shared" si="45"/>
        <v/>
      </c>
      <c r="N60" s="116" t="str">
        <f t="shared" si="50"/>
        <v/>
      </c>
      <c r="O60" s="129" t="str">
        <f t="shared" si="80"/>
        <v/>
      </c>
      <c r="P60" s="37" t="str">
        <f t="shared" si="84"/>
        <v>{"text":{"en":"Don't interrupt us when we're talking to you!","de":"Halt' den Mund und hör uns gut zu!"},"filename":"091_dont_interrupt","id":91,"expressions":[{"expression":"happy","start_frame":0,"intensity":1}]}</v>
      </c>
      <c r="Q60" s="37" t="str">
        <f t="shared" si="52"/>
        <v>{"text":{"en":"Don't interrupt us when we're talking to you!","de":"Halt' den Mund und hör uns gut zu!"},"filename":"091_dont_interrupt","id":91,"expressions":[{"expression":"happy","start_frame":0,"intensity":1}]}</v>
      </c>
      <c r="R60" s="141"/>
      <c r="S60" s="148" t="str">
        <f t="shared" si="53"/>
        <v/>
      </c>
      <c r="T60" s="137" t="str">
        <f t="shared" si="54"/>
        <v/>
      </c>
      <c r="U60" s="45"/>
      <c r="V60" s="35" t="str">
        <f t="shared" si="81"/>
        <v/>
      </c>
      <c r="W60" s="36" t="str">
        <f t="shared" si="82"/>
        <v/>
      </c>
      <c r="X60" s="36" t="str">
        <f t="shared" si="83"/>
        <v/>
      </c>
      <c r="Y60" s="34"/>
      <c r="Z60" s="36" t="str">
        <f t="shared" si="47"/>
        <v/>
      </c>
      <c r="AA60" s="36"/>
      <c r="AB60" s="36" t="str" cm="1">
        <f t="array" ref="AB60">IF(C60="observe",channel_av_observe,"") &amp; IF(C60="register",channel_av_register,"")  &amp; IF(C60="listen",channel_av_listen,"")</f>
        <v/>
      </c>
      <c r="AC60" s="36" t="str">
        <f t="shared" si="55"/>
        <v/>
      </c>
      <c r="AD60" s="36" t="str">
        <f t="shared" si="56"/>
        <v/>
      </c>
      <c r="AE60" s="42"/>
      <c r="AF60" s="56"/>
      <c r="AG60" s="56"/>
      <c r="AH60" s="56" t="s">
        <v>188</v>
      </c>
      <c r="AI60" s="56"/>
      <c r="AJ60" s="57">
        <f>A95</f>
        <v>91</v>
      </c>
      <c r="AK60" s="56" t="str">
        <f t="shared" ref="AK60:AK122" si="88">IF(AH60="","",TEXT(SUBSTITUTE(AJ60," ","_"),"000") &amp; "_" &amp; AH60)</f>
        <v>091_dont_interrupt</v>
      </c>
      <c r="AL60" s="56" t="str">
        <f t="shared" si="85"/>
        <v>091_dont_interrupt.mp3</v>
      </c>
      <c r="AM60" s="133"/>
      <c r="AN60" s="56" t="s">
        <v>189</v>
      </c>
      <c r="AO60" s="56" t="s">
        <v>190</v>
      </c>
      <c r="AP60" s="56" t="str">
        <f t="shared" si="86"/>
        <v>"expressions":[{"expression":"happy","start_frame":0,"intensity":1}]</v>
      </c>
      <c r="AQ60" s="56" t="str">
        <f t="shared" si="87"/>
        <v>{"expression":"happy","start_frame":0,"intensity":1}</v>
      </c>
      <c r="AR60" s="56" t="s">
        <v>191</v>
      </c>
      <c r="AS60" s="56">
        <v>0</v>
      </c>
      <c r="AT60" s="56">
        <v>1</v>
      </c>
      <c r="AU60" s="56"/>
      <c r="AV60" s="56"/>
      <c r="AW60" s="56"/>
      <c r="AX60" s="56"/>
      <c r="AY60" s="56"/>
      <c r="AZ60" s="56"/>
      <c r="BA60" s="56"/>
      <c r="BB60" s="56"/>
      <c r="BC60" s="58"/>
      <c r="BD60" s="42"/>
      <c r="BE60" s="35"/>
      <c r="BF60" s="58"/>
      <c r="BG60" s="108"/>
      <c r="BH60" s="108"/>
      <c r="BI60" s="108" t="s">
        <v>77</v>
      </c>
      <c r="BJ60" s="110"/>
      <c r="BK60" s="58"/>
      <c r="BL60" s="56"/>
      <c r="BM60" s="35"/>
      <c r="BN60" s="35"/>
      <c r="BO60" s="35"/>
      <c r="BP60" s="35"/>
      <c r="BQ60" s="35"/>
      <c r="BR60" s="58"/>
      <c r="BS60" s="35"/>
      <c r="BT60" s="35"/>
      <c r="BU60" s="35"/>
      <c r="BV60" s="35"/>
      <c r="BW60" s="35"/>
      <c r="BX60" s="58"/>
      <c r="BY60" s="34"/>
      <c r="BZ60" s="43"/>
      <c r="CA60" s="43"/>
      <c r="CB60" s="158" t="str">
        <f t="shared" si="58"/>
        <v/>
      </c>
      <c r="AOE60" s="28"/>
    </row>
    <row r="61" spans="1:80 1071:1071" s="27" customFormat="1">
      <c r="A61" s="32">
        <f t="shared" si="15"/>
        <v>57</v>
      </c>
      <c r="B61" s="32"/>
      <c r="C61" s="32" t="s">
        <v>182</v>
      </c>
      <c r="D61" s="32"/>
      <c r="E61" s="34" t="s">
        <v>183</v>
      </c>
      <c r="F61" s="34" t="str">
        <f t="shared" si="79"/>
        <v/>
      </c>
      <c r="G61" s="34" t="str">
        <f t="shared" si="0"/>
        <v/>
      </c>
      <c r="H61" s="116" t="str">
        <f t="shared" si="48"/>
        <v/>
      </c>
      <c r="I61" s="36" t="str">
        <f t="shared" si="2"/>
        <v/>
      </c>
      <c r="J61" s="36" t="str">
        <f t="shared" si="49"/>
        <v/>
      </c>
      <c r="K61" s="116" t="str">
        <f t="shared" si="27"/>
        <v/>
      </c>
      <c r="L61" s="36"/>
      <c r="M61" s="136" t="str">
        <f t="shared" si="45"/>
        <v/>
      </c>
      <c r="N61" s="116" t="str">
        <f t="shared" si="50"/>
        <v/>
      </c>
      <c r="O61" s="129" t="str">
        <f t="shared" si="80"/>
        <v/>
      </c>
      <c r="P61" s="37" t="str">
        <f t="shared" si="84"/>
        <v>{"text":{"en":"We should listen to him.","de":"Wir sollten auf ihn hören. "},"filename":"099_we_should_listen","id":99,"expressions":[{"expression":"serious","start_frame":0,"intensity":1}]}</v>
      </c>
      <c r="Q61" s="37" t="str">
        <f t="shared" si="52"/>
        <v>{"text":{"en":"We should listen to him.","de":"Wir sollten auf ihn hören. "},"filename":"099_we_should_listen","id":99,"expressions":[{"expression":"serious","start_frame":0,"intensity":1}]}</v>
      </c>
      <c r="R61" s="141"/>
      <c r="S61" s="148" t="str">
        <f t="shared" si="53"/>
        <v/>
      </c>
      <c r="T61" s="137" t="str">
        <f t="shared" si="54"/>
        <v/>
      </c>
      <c r="U61" s="45"/>
      <c r="V61" s="35" t="str">
        <f t="shared" si="81"/>
        <v/>
      </c>
      <c r="W61" s="36" t="str">
        <f t="shared" si="82"/>
        <v/>
      </c>
      <c r="X61" s="36" t="str">
        <f t="shared" si="83"/>
        <v/>
      </c>
      <c r="Y61" s="34"/>
      <c r="Z61" s="36" t="str">
        <f t="shared" si="47"/>
        <v/>
      </c>
      <c r="AA61" s="36"/>
      <c r="AB61" s="36" t="str" cm="1">
        <f t="array" ref="AB61">IF(C61="observe",channel_av_observe,"") &amp; IF(C61="register",channel_av_register,"")  &amp; IF(C61="listen",channel_av_listen,"")</f>
        <v/>
      </c>
      <c r="AC61" s="36" t="str">
        <f t="shared" si="55"/>
        <v/>
      </c>
      <c r="AD61" s="36" t="str">
        <f t="shared" si="56"/>
        <v/>
      </c>
      <c r="AE61" s="42"/>
      <c r="AF61" s="56"/>
      <c r="AG61" s="56"/>
      <c r="AH61" s="56" t="s">
        <v>192</v>
      </c>
      <c r="AI61" s="56"/>
      <c r="AJ61" s="57">
        <f>A103</f>
        <v>99</v>
      </c>
      <c r="AK61" s="56" t="str">
        <f t="shared" si="88"/>
        <v>099_we_should_listen</v>
      </c>
      <c r="AL61" s="56" t="str">
        <f t="shared" si="85"/>
        <v>099_we_should_listen.mp3</v>
      </c>
      <c r="AM61" s="133"/>
      <c r="AN61" s="56" t="s">
        <v>193</v>
      </c>
      <c r="AO61" s="56" t="s">
        <v>194</v>
      </c>
      <c r="AP61" s="56" t="str">
        <f t="shared" si="86"/>
        <v>"expressions":[{"expression":"serious","start_frame":0,"intensity":1}]</v>
      </c>
      <c r="AQ61" s="56" t="str">
        <f t="shared" si="87"/>
        <v>{"expression":"serious","start_frame":0,"intensity":1}</v>
      </c>
      <c r="AR61" s="56" t="s">
        <v>187</v>
      </c>
      <c r="AS61" s="56">
        <v>0</v>
      </c>
      <c r="AT61" s="56">
        <v>1</v>
      </c>
      <c r="AU61" s="56"/>
      <c r="AV61" s="56"/>
      <c r="AW61" s="56"/>
      <c r="AX61" s="56"/>
      <c r="AY61" s="56"/>
      <c r="AZ61" s="56"/>
      <c r="BA61" s="56"/>
      <c r="BB61" s="56"/>
      <c r="BC61" s="58"/>
      <c r="BD61" s="42"/>
      <c r="BE61" s="35"/>
      <c r="BF61" s="58"/>
      <c r="BG61" s="108"/>
      <c r="BH61" s="108"/>
      <c r="BI61" s="108" t="s">
        <v>77</v>
      </c>
      <c r="BJ61" s="110"/>
      <c r="BK61" s="58"/>
      <c r="BL61" s="56"/>
      <c r="BM61" s="35"/>
      <c r="BN61" s="35"/>
      <c r="BO61" s="35"/>
      <c r="BP61" s="35"/>
      <c r="BQ61" s="35"/>
      <c r="BR61" s="58"/>
      <c r="BS61" s="35"/>
      <c r="BT61" s="35"/>
      <c r="BU61" s="35"/>
      <c r="BV61" s="35"/>
      <c r="BW61" s="35"/>
      <c r="BX61" s="58"/>
      <c r="BY61" s="34"/>
      <c r="BZ61" s="43"/>
      <c r="CA61" s="43"/>
      <c r="CB61" s="158" t="str">
        <f t="shared" si="58"/>
        <v/>
      </c>
      <c r="AOE61" s="28"/>
    </row>
    <row r="62" spans="1:80 1071:1071" s="27" customFormat="1">
      <c r="A62" s="32">
        <f t="shared" si="15"/>
        <v>58</v>
      </c>
      <c r="B62" s="32"/>
      <c r="C62" s="32" t="s">
        <v>182</v>
      </c>
      <c r="D62" s="32"/>
      <c r="E62" s="34" t="s">
        <v>183</v>
      </c>
      <c r="F62" s="34" t="str">
        <f t="shared" si="79"/>
        <v/>
      </c>
      <c r="G62" s="34" t="str">
        <f t="shared" si="0"/>
        <v/>
      </c>
      <c r="H62" s="116" t="str">
        <f t="shared" si="48"/>
        <v/>
      </c>
      <c r="I62" s="36" t="str">
        <f t="shared" si="2"/>
        <v/>
      </c>
      <c r="J62" s="36" t="str">
        <f t="shared" si="49"/>
        <v/>
      </c>
      <c r="K62" s="116" t="str">
        <f t="shared" si="27"/>
        <v/>
      </c>
      <c r="L62" s="36"/>
      <c r="M62" s="136" t="str">
        <f t="shared" si="45"/>
        <v/>
      </c>
      <c r="N62" s="116" t="str">
        <f t="shared" si="50"/>
        <v/>
      </c>
      <c r="O62" s="129" t="str">
        <f t="shared" si="80"/>
        <v/>
      </c>
      <c r="P62" s="37" t="str">
        <f t="shared" si="84"/>
        <v>{"text":{"en":" He just wants us to succeed!","de":"Er will nur unser Bestes."},"filename":"100_he_wants_us_to","id":100,"expressions":[{"expression":"surprise","start_frame":0,"intensity":1}]}</v>
      </c>
      <c r="Q62" s="37" t="str">
        <f t="shared" si="52"/>
        <v>{"text":{"en":" He just wants us to succeed!","de":"Er will nur unser Bestes."},"filename":"100_he_wants_us_to","id":100,"expressions":[{"expression":"surprise","start_frame":0,"intensity":1}]}</v>
      </c>
      <c r="R62" s="141"/>
      <c r="S62" s="148" t="str">
        <f t="shared" si="53"/>
        <v/>
      </c>
      <c r="T62" s="137" t="str">
        <f t="shared" si="54"/>
        <v/>
      </c>
      <c r="U62" s="45"/>
      <c r="V62" s="35" t="str">
        <f t="shared" si="81"/>
        <v/>
      </c>
      <c r="W62" s="36" t="str">
        <f t="shared" si="82"/>
        <v/>
      </c>
      <c r="X62" s="36" t="str">
        <f t="shared" si="83"/>
        <v/>
      </c>
      <c r="Y62" s="34"/>
      <c r="Z62" s="36" t="str">
        <f t="shared" si="47"/>
        <v/>
      </c>
      <c r="AA62" s="36"/>
      <c r="AB62" s="36" t="str" cm="1">
        <f t="array" ref="AB62">IF(C62="observe",channel_av_observe,"") &amp; IF(C62="register",channel_av_register,"")  &amp; IF(C62="listen",channel_av_listen,"")</f>
        <v/>
      </c>
      <c r="AC62" s="36" t="str">
        <f t="shared" si="55"/>
        <v/>
      </c>
      <c r="AD62" s="36" t="str">
        <f t="shared" si="56"/>
        <v/>
      </c>
      <c r="AE62" s="42"/>
      <c r="AF62" s="56"/>
      <c r="AG62" s="56"/>
      <c r="AH62" s="56" t="s">
        <v>195</v>
      </c>
      <c r="AI62" s="56"/>
      <c r="AJ62" s="57">
        <f>A104</f>
        <v>100</v>
      </c>
      <c r="AK62" s="56" t="str">
        <f t="shared" si="88"/>
        <v>100_he_wants_us_to</v>
      </c>
      <c r="AL62" s="56" t="str">
        <f t="shared" si="85"/>
        <v>100_he_wants_us_to.mp3</v>
      </c>
      <c r="AM62" s="133"/>
      <c r="AN62" s="56" t="s">
        <v>196</v>
      </c>
      <c r="AO62" s="56" t="s">
        <v>197</v>
      </c>
      <c r="AP62" s="56" t="str">
        <f t="shared" si="86"/>
        <v>"expressions":[{"expression":"surprise","start_frame":0,"intensity":1}]</v>
      </c>
      <c r="AQ62" s="56" t="str">
        <f t="shared" si="87"/>
        <v>{"expression":"surprise","start_frame":0,"intensity":1}</v>
      </c>
      <c r="AR62" s="56" t="s">
        <v>198</v>
      </c>
      <c r="AS62" s="56">
        <v>0</v>
      </c>
      <c r="AT62" s="56">
        <v>1</v>
      </c>
      <c r="AU62" s="56"/>
      <c r="AV62" s="56"/>
      <c r="AW62" s="56"/>
      <c r="AX62" s="56"/>
      <c r="AY62" s="56"/>
      <c r="AZ62" s="56"/>
      <c r="BA62" s="56"/>
      <c r="BB62" s="56"/>
      <c r="BC62" s="58"/>
      <c r="BD62" s="42"/>
      <c r="BE62" s="35"/>
      <c r="BF62" s="58"/>
      <c r="BG62" s="108"/>
      <c r="BH62" s="108"/>
      <c r="BI62" s="108" t="s">
        <v>77</v>
      </c>
      <c r="BJ62" s="110"/>
      <c r="BK62" s="58"/>
      <c r="BL62" s="56"/>
      <c r="BM62" s="35"/>
      <c r="BN62" s="35"/>
      <c r="BO62" s="35"/>
      <c r="BP62" s="35"/>
      <c r="BQ62" s="35"/>
      <c r="BR62" s="58"/>
      <c r="BS62" s="35"/>
      <c r="BT62" s="35"/>
      <c r="BU62" s="35"/>
      <c r="BV62" s="35"/>
      <c r="BW62" s="35"/>
      <c r="BX62" s="58"/>
      <c r="BY62" s="34"/>
      <c r="BZ62" s="43"/>
      <c r="CA62" s="43"/>
      <c r="CB62" s="158" t="str">
        <f t="shared" si="58"/>
        <v/>
      </c>
      <c r="AOE62" s="28"/>
    </row>
    <row r="63" spans="1:80 1071:1071" s="27" customFormat="1">
      <c r="A63" s="32">
        <f t="shared" si="15"/>
        <v>59</v>
      </c>
      <c r="B63" s="32"/>
      <c r="C63" s="32" t="s">
        <v>182</v>
      </c>
      <c r="D63" s="32"/>
      <c r="E63" s="34" t="s">
        <v>183</v>
      </c>
      <c r="F63" s="34" t="str">
        <f t="shared" si="79"/>
        <v/>
      </c>
      <c r="G63" s="34" t="str">
        <f t="shared" si="0"/>
        <v/>
      </c>
      <c r="H63" s="116" t="str">
        <f t="shared" si="48"/>
        <v/>
      </c>
      <c r="I63" s="36" t="str">
        <f t="shared" si="2"/>
        <v/>
      </c>
      <c r="J63" s="36" t="str">
        <f t="shared" si="49"/>
        <v/>
      </c>
      <c r="K63" s="116" t="str">
        <f t="shared" si="27"/>
        <v/>
      </c>
      <c r="L63" s="36"/>
      <c r="M63" s="136" t="str">
        <f t="shared" si="45"/>
        <v/>
      </c>
      <c r="N63" s="116" t="str">
        <f t="shared" si="50"/>
        <v/>
      </c>
      <c r="O63" s="129" t="str">
        <f t="shared" si="80"/>
        <v/>
      </c>
      <c r="P63" s="37" t="str">
        <f t="shared" si="84"/>
        <v>{"text":{"en":"And your life would be so much better if you just did as you’re told.","de":"Und Dein Leben wäre so viel einfacher, wenn Du einfach nur tun würdest, was Dir gesagt wird"},"filename":"102_your_life_would_be","id":102,"expressions":[{"expression":"surprise","start_frame":0,"intensity":1}]}</v>
      </c>
      <c r="Q63" s="37" t="str">
        <f t="shared" si="52"/>
        <v>{"text":{"en":"And your life would be so much better if you just did as you’re told.","de":"Und Dein Leben wäre so viel einfacher, wenn Du einfach nur tun würdest, was Dir gesagt wird"},"filename":"102_your_life_would_be","id":102,"expressions":[{"expression":"surprise","start_frame":0,"intensity":1}]}</v>
      </c>
      <c r="R63" s="141"/>
      <c r="S63" s="148" t="str">
        <f t="shared" si="53"/>
        <v/>
      </c>
      <c r="T63" s="137" t="str">
        <f t="shared" si="54"/>
        <v/>
      </c>
      <c r="U63" s="45"/>
      <c r="V63" s="35" t="str">
        <f t="shared" si="81"/>
        <v/>
      </c>
      <c r="W63" s="36" t="str">
        <f t="shared" si="82"/>
        <v/>
      </c>
      <c r="X63" s="36" t="str">
        <f t="shared" si="83"/>
        <v/>
      </c>
      <c r="Y63" s="34"/>
      <c r="Z63" s="36" t="str">
        <f t="shared" si="47"/>
        <v/>
      </c>
      <c r="AA63" s="36"/>
      <c r="AB63" s="36" t="str" cm="1">
        <f t="array" ref="AB63">IF(C63="observe",channel_av_observe,"") &amp; IF(C63="register",channel_av_register,"")  &amp; IF(C63="listen",channel_av_listen,"")</f>
        <v/>
      </c>
      <c r="AC63" s="36" t="str">
        <f t="shared" si="55"/>
        <v/>
      </c>
      <c r="AD63" s="36" t="str">
        <f t="shared" si="56"/>
        <v/>
      </c>
      <c r="AE63" s="42"/>
      <c r="AF63" s="56"/>
      <c r="AG63" s="56"/>
      <c r="AH63" s="56" t="s">
        <v>199</v>
      </c>
      <c r="AI63" s="56"/>
      <c r="AJ63" s="57">
        <f>A106</f>
        <v>102</v>
      </c>
      <c r="AK63" s="56" t="str">
        <f t="shared" si="88"/>
        <v>102_your_life_would_be</v>
      </c>
      <c r="AL63" s="56" t="str">
        <f t="shared" si="85"/>
        <v>102_your_life_would_be.mp3</v>
      </c>
      <c r="AM63" s="133"/>
      <c r="AN63" s="56" t="s">
        <v>200</v>
      </c>
      <c r="AO63" s="56" t="s">
        <v>201</v>
      </c>
      <c r="AP63" s="56" t="str">
        <f t="shared" si="86"/>
        <v>"expressions":[{"expression":"surprise","start_frame":0,"intensity":1}]</v>
      </c>
      <c r="AQ63" s="56" t="str">
        <f t="shared" si="87"/>
        <v>{"expression":"surprise","start_frame":0,"intensity":1}</v>
      </c>
      <c r="AR63" s="56" t="s">
        <v>198</v>
      </c>
      <c r="AS63" s="56">
        <v>0</v>
      </c>
      <c r="AT63" s="56">
        <v>1</v>
      </c>
      <c r="AU63" s="56"/>
      <c r="AV63" s="56"/>
      <c r="AW63" s="56"/>
      <c r="AX63" s="56"/>
      <c r="AY63" s="56"/>
      <c r="AZ63" s="56"/>
      <c r="BA63" s="56"/>
      <c r="BB63" s="56"/>
      <c r="BC63" s="58"/>
      <c r="BD63" s="42"/>
      <c r="BE63" s="35"/>
      <c r="BF63" s="58"/>
      <c r="BG63" s="108"/>
      <c r="BH63" s="108"/>
      <c r="BI63" s="108" t="s">
        <v>77</v>
      </c>
      <c r="BJ63" s="110"/>
      <c r="BK63" s="58"/>
      <c r="BL63" s="56"/>
      <c r="BM63" s="35"/>
      <c r="BN63" s="35"/>
      <c r="BO63" s="35"/>
      <c r="BP63" s="35"/>
      <c r="BQ63" s="35"/>
      <c r="BR63" s="58"/>
      <c r="BS63" s="35"/>
      <c r="BT63" s="35"/>
      <c r="BU63" s="35"/>
      <c r="BV63" s="35"/>
      <c r="BW63" s="35"/>
      <c r="BX63" s="58"/>
      <c r="BY63" s="34"/>
      <c r="BZ63" s="43"/>
      <c r="CA63" s="43"/>
      <c r="CB63" s="158" t="str">
        <f t="shared" si="58"/>
        <v/>
      </c>
      <c r="AOE63" s="28"/>
    </row>
    <row r="64" spans="1:80 1071:1071" s="27" customFormat="1">
      <c r="A64" s="32">
        <f t="shared" si="15"/>
        <v>60</v>
      </c>
      <c r="B64" s="32"/>
      <c r="C64" s="32" t="s">
        <v>182</v>
      </c>
      <c r="D64" s="32"/>
      <c r="E64" s="34" t="s">
        <v>183</v>
      </c>
      <c r="F64" s="34" t="str">
        <f t="shared" si="79"/>
        <v/>
      </c>
      <c r="G64" s="34" t="str">
        <f t="shared" si="0"/>
        <v/>
      </c>
      <c r="H64" s="116" t="str">
        <f t="shared" si="48"/>
        <v/>
      </c>
      <c r="I64" s="36" t="str">
        <f t="shared" si="2"/>
        <v/>
      </c>
      <c r="J64" s="36" t="str">
        <f t="shared" si="49"/>
        <v/>
      </c>
      <c r="K64" s="116" t="str">
        <f t="shared" si="27"/>
        <v/>
      </c>
      <c r="L64" s="36"/>
      <c r="M64" s="136" t="str">
        <f t="shared" si="45"/>
        <v/>
      </c>
      <c r="N64" s="116" t="str">
        <f t="shared" si="50"/>
        <v/>
      </c>
      <c r="O64" s="129" t="str">
        <f t="shared" si="80"/>
        <v/>
      </c>
      <c r="P64" s="37" t="str">
        <f t="shared" si="84"/>
        <v>{"text":{"en":"I don’t think he has. ","de":"Da glaub' ich nicht dran."},"filename":"104_i_dont_think","id":104,"expressions":[{"expression":"happy","start_frame":0,"intensity":1}]}</v>
      </c>
      <c r="Q64" s="37" t="str">
        <f t="shared" si="52"/>
        <v>{"text":{"en":"I don’t think he has. ","de":"Da glaub' ich nicht dran."},"filename":"104_i_dont_think","id":104,"expressions":[{"expression":"happy","start_frame":0,"intensity":1}]}</v>
      </c>
      <c r="R64" s="141"/>
      <c r="S64" s="148" t="str">
        <f t="shared" si="53"/>
        <v/>
      </c>
      <c r="T64" s="137" t="str">
        <f t="shared" si="54"/>
        <v/>
      </c>
      <c r="U64" s="45"/>
      <c r="V64" s="35" t="str">
        <f t="shared" si="81"/>
        <v/>
      </c>
      <c r="W64" s="36" t="str">
        <f t="shared" si="82"/>
        <v/>
      </c>
      <c r="X64" s="36" t="str">
        <f t="shared" si="83"/>
        <v/>
      </c>
      <c r="Y64" s="34"/>
      <c r="Z64" s="36" t="str">
        <f t="shared" si="47"/>
        <v/>
      </c>
      <c r="AA64" s="36"/>
      <c r="AB64" s="36" t="str" cm="1">
        <f t="array" ref="AB64">IF(C64="observe",channel_av_observe,"") &amp; IF(C64="register",channel_av_register,"")  &amp; IF(C64="listen",channel_av_listen,"")</f>
        <v/>
      </c>
      <c r="AC64" s="36" t="str">
        <f t="shared" si="55"/>
        <v/>
      </c>
      <c r="AD64" s="36" t="str">
        <f t="shared" si="56"/>
        <v/>
      </c>
      <c r="AE64" s="42"/>
      <c r="AF64" s="56"/>
      <c r="AG64" s="56"/>
      <c r="AH64" s="56" t="s">
        <v>202</v>
      </c>
      <c r="AI64" s="56"/>
      <c r="AJ64" s="57">
        <f>A108</f>
        <v>104</v>
      </c>
      <c r="AK64" s="56" t="str">
        <f t="shared" si="88"/>
        <v>104_i_dont_think</v>
      </c>
      <c r="AL64" s="56" t="str">
        <f t="shared" si="85"/>
        <v>104_i_dont_think.mp3</v>
      </c>
      <c r="AM64" s="133"/>
      <c r="AN64" s="56" t="s">
        <v>203</v>
      </c>
      <c r="AO64" s="56" t="s">
        <v>204</v>
      </c>
      <c r="AP64" s="56" t="str">
        <f t="shared" si="86"/>
        <v>"expressions":[{"expression":"happy","start_frame":0,"intensity":1}]</v>
      </c>
      <c r="AQ64" s="56" t="str">
        <f t="shared" si="87"/>
        <v>{"expression":"happy","start_frame":0,"intensity":1}</v>
      </c>
      <c r="AR64" s="56" t="s">
        <v>191</v>
      </c>
      <c r="AS64" s="56">
        <v>0</v>
      </c>
      <c r="AT64" s="56">
        <v>1</v>
      </c>
      <c r="AU64" s="56"/>
      <c r="AV64" s="56"/>
      <c r="AW64" s="56"/>
      <c r="AX64" s="56"/>
      <c r="AY64" s="56"/>
      <c r="AZ64" s="56"/>
      <c r="BA64" s="56"/>
      <c r="BB64" s="56"/>
      <c r="BC64" s="58"/>
      <c r="BD64" s="42"/>
      <c r="BE64" s="35"/>
      <c r="BF64" s="58"/>
      <c r="BG64" s="108"/>
      <c r="BH64" s="108"/>
      <c r="BI64" s="108" t="s">
        <v>77</v>
      </c>
      <c r="BJ64" s="110"/>
      <c r="BK64" s="58"/>
      <c r="BL64" s="56"/>
      <c r="BM64" s="35"/>
      <c r="BN64" s="35"/>
      <c r="BO64" s="35"/>
      <c r="BP64" s="35"/>
      <c r="BQ64" s="35"/>
      <c r="BR64" s="58"/>
      <c r="BS64" s="35"/>
      <c r="BT64" s="35"/>
      <c r="BU64" s="35"/>
      <c r="BV64" s="35"/>
      <c r="BW64" s="35"/>
      <c r="BX64" s="58"/>
      <c r="BY64" s="34"/>
      <c r="BZ64" s="43"/>
      <c r="CA64" s="43"/>
      <c r="CB64" s="158" t="str">
        <f t="shared" si="58"/>
        <v/>
      </c>
      <c r="AOE64" s="28"/>
    </row>
    <row r="65" spans="1:80 1071:1071" s="27" customFormat="1">
      <c r="A65" s="32">
        <f>A64+1</f>
        <v>61</v>
      </c>
      <c r="B65" s="32"/>
      <c r="C65" s="32" t="s">
        <v>100</v>
      </c>
      <c r="D65" s="32"/>
      <c r="E65" s="34" t="s">
        <v>101</v>
      </c>
      <c r="F65" s="34" t="str">
        <f t="shared" si="79"/>
        <v/>
      </c>
      <c r="G65" s="34" t="str">
        <f t="shared" si="0"/>
        <v>mute</v>
      </c>
      <c r="H65" s="116" t="str">
        <f t="shared" si="48"/>
        <v>{"av-command": "stt-control", "data": {"listening": false}}</v>
      </c>
      <c r="I65" s="36" t="str">
        <f t="shared" si="2"/>
        <v/>
      </c>
      <c r="J65" s="36" t="str">
        <f t="shared" si="49"/>
        <v/>
      </c>
      <c r="K65" s="116" t="str">
        <f t="shared" si="27"/>
        <v/>
      </c>
      <c r="L65" s="36"/>
      <c r="M65" s="136" t="str">
        <f t="shared" si="45"/>
        <v>speak</v>
      </c>
      <c r="N65" s="116" t="str">
        <f t="shared" si="50"/>
        <v>{ "command": "speak", "entity": "Eliza", "data" : { "text" : "%text"}}</v>
      </c>
      <c r="O65" s="129" t="str">
        <f t="shared" si="80"/>
        <v>{ "command": "speak", "entity": "Eliza", "data" : { "text" : "Do you sometimes feel like a puppet yourself? "}}</v>
      </c>
      <c r="P65" s="37" t="str">
        <f>IF(Y65&lt;&gt;"x","",j_opn&amp;"id"&amp;j_sep&amp;A65 &amp; j_nxt&amp;label_deepfake_name &amp; j_sep &amp; AH65 &amp; j_nxt&amp; "type" &amp; j_sep &amp; label_meat &amp; j_nxt&amp; "channel" &amp;j_sep&amp;Z65&amp;j_nxt&amp;label_role&amp;j_sep&amp;AE65&amp;j_nxt&amp;label_text&amp;j_sep&amp;AF65&amp;j_nxt&amp;label_gpt_emo&amp;j_sep&amp;BD65&amp;j_nxt&amp;label_gpt_tone&amp;j_sep&amp;BE65&amp;j_nxt&amp;label_animate&amp;j_sub_opn&amp;label_pre&amp;j_sep&amp;IF(do_anim=FALSE,"",BG65)&amp;j_nxt&amp;label_post&amp;j_sep&amp;IF(do_anim="","",BH65)&amp;j_nxt&amp;label_next_state&amp;j_sep&amp;BI65&amp;J_sub_cls&amp;label_azure&amp;j_sub_opn&amp;label_style&amp;j_sep&amp;BL65&amp;j_nxt&amp;label_degree&amp;J_sep_num&amp;BM65&amp;j_nxt_num&amp;label_pause&amp;J_sep_num&amp;BN65&amp;j_nxt_num&amp;label_pitch&amp;J_sep_num&amp;BO65&amp;j_nxt_num&amp;label_rate&amp;J_sep_num&amp;BP65&amp;j_nxt_num&amp;label_volume&amp;J_sep_num&amp;BQ65&amp;j_sub_cls_num&amp;label_emotion&amp;j_sub_opn&amp;label_sad&amp;J_sep_num&amp;BS65&amp;j_nxt_num&amp;label_joy&amp;J_sep_num&amp;BT65&amp;j_nxt_num&amp;label_fear&amp;J_sep_num&amp;BU65&amp;j_nxt_num&amp;label_disgust&amp;J_sep_num&amp;BV65&amp;j_nxt_num&amp;label_anger&amp;J_sep_num&amp;BW65&amp;j_sub_cls_num&amp;label_sg&amp;j_sub_opn&amp;label_mood&amp;j_sep&amp;BY65&amp;j_nxt&amp;label_scale&amp;J_sep_num&amp;BZ65&amp;j_end_num)</f>
        <v>{"id":"61","name":"puppet","type":"meat","channel":"say","role":"mask","text":"Do you sometimes feel like a puppet yourself? ","gpt_emotion":"","gpt_tone":"","animate":{"pre":"","post":"","next_state":""},"azure":{"style":"Whispering","degree":0.8,"pause":0,"pitch":0,"rate":-8,"volume":0},"emotion":{"sadness":-1,"joy":-1,"fear":-1,"disgust":-1,"anger":-1},"sgcom":{"mood":"","scale":-1}}</v>
      </c>
      <c r="Q65" s="37" t="str">
        <f t="shared" si="52"/>
        <v>{"id":"61","name":"puppet","type":"meat","channel":"say","role":"mask","text":"Do you sometimes feel like a puppet yourself? ","gpt_emotion":"","gpt_tone":"","animate":{"pre":"","post":"","next_state":""},"azure":{"style":"Whispering","degree":0.8,"pause":0,"pitch":0,"rate":-8,"volume":0},"emotion":{"sadness":-1,"joy":-1,"fear":-1,"disgust":-1,"anger":-1},"sgcom":{"mood":"","scale":-1}}</v>
      </c>
      <c r="R65" s="141"/>
      <c r="S65" s="148" t="str">
        <f t="shared" si="53"/>
        <v>mask_spoke</v>
      </c>
      <c r="T65" s="137" t="str">
        <f t="shared" si="54"/>
        <v>{"words-in" : { "entity" : "Eliza"} }</v>
      </c>
      <c r="U65" s="45"/>
      <c r="V65" s="35" t="str">
        <f>IF(OR(P65="",Y65=""),"",osc_exe_npmosc&amp;" --host "&amp;osc_ip&amp;":"&amp;osc_port_control&amp;" "&amp; osc_channel_meat_stub &amp; "  " &amp; j_qot &amp;X65 &amp; j_qot)</f>
        <v>/opt/homebrew/bin/osc --host 10.10.10.10:5918 /meat  "{#Qid#Q:#Q61#Q#C#Qname#Q:#Qpuppet#Q#C#Qtype#Q:#Qmeat#Q#C#Qchannel#Q:#Qsay#Q#C#Qrole#Q:#Qmask#Q#C#Qtext#Q:#QDo#Syou#Ssometimes#Sfeel#Slike#Sa#Spuppet#Syourself?#S#Q#C#Qgpt_emotion#Q:#Q#Q#C#Qgpt_tone#Q:#Q#Q#C#Qanimate#Q:{#Qpre#Q:#Q#Q#C#Qpost#Q:#Q#Q#C#Qnext_state#Q:#Q#Q}#C#Qazure#Q:{#Qstyle#Q:#QWhispering#Q#C#Qdegree#Q:0.8#C#Qpause#Q:0#C#Qpitch#Q:0#C#Qrate#Q:-8#C#Qvolume#Q:0}#C#Qemotion#Q:{#Qsadness#Q:-1#C#Qjoy#Q:-1#C#Qfear#Q:-1#C#Qdisgust#Q:-1#C#Qanger#Q:-1}#C#Qsgcom#Q:{#Qmood#Q:#Q#Q#C#Qscale#Q:-1}}"</v>
      </c>
      <c r="W65" s="36" t="str">
        <f t="shared" si="82"/>
        <v>/opt/homebrew/bin/sendosc 10.10.10.10 5918 say s {\"id\":\"61\",\"name\":\"puppet\",\"type\":\"meat\",\"channel\":\"say\",\"role\":\"mask\",\"text\":\"Do\ you\ sometimes\ feel\ like\ a\ puppet\ yourself\?\ \",\"gpt_emotion\":\"\",\"gpt_tone\":\"\",\"animate\":{\"pre\":\"\",\"post\":\"\",\"next_state\":\"\"\},\"azure\":{\"style\":\"Whispering\",\"degree\":0.8,\"pause\":0,\"pitch\":0,\"rate\":-8,\"volume\":0\},\"emotion\":{\"sadness\":-1,\"joy\":-1,\"fear\":-1,\"disgust\":-1,\"anger\":-1\},\"sgcom\":{\"mood\":\"\",\"scale\":-1\}\}</v>
      </c>
      <c r="X65" s="36" t="str">
        <f t="shared" si="83"/>
        <v>{#Qid#Q:#Q61#Q#C#Qname#Q:#Qpuppet#Q#C#Qtype#Q:#Qmeat#Q#C#Qchannel#Q:#Qsay#Q#C#Qrole#Q:#Qmask#Q#C#Qtext#Q:#QDo#Syou#Ssometimes#Sfeel#Slike#Sa#Spuppet#Syourself?#S#Q#C#Qgpt_emotion#Q:#Q#Q#C#Qgpt_tone#Q:#Q#Q#C#Qanimate#Q:{#Qpre#Q:#Q#Q#C#Qpost#Q:#Q#Q#C#Qnext_state#Q:#Q#Q}#C#Qazure#Q:{#Qstyle#Q:#QWhispering#Q#C#Qdegree#Q:0.8#C#Qpause#Q:0#C#Qpitch#Q:0#C#Qrate#Q:-8#C#Qvolume#Q:0}#C#Qemotion#Q:{#Qsadness#Q:-1#C#Qjoy#Q:-1#C#Qfear#Q:-1#C#Qdisgust#Q:-1#C#Qanger#Q:-1}#C#Qsgcom#Q:{#Qmood#Q:#Q#Q#C#Qscale#Q:-1}}</v>
      </c>
      <c r="Y65" s="40" t="s">
        <v>102</v>
      </c>
      <c r="Z65" s="36" t="str">
        <f t="shared" si="47"/>
        <v>say</v>
      </c>
      <c r="AA65" s="36"/>
      <c r="AB65" s="36" t="str" cm="1">
        <f t="array" ref="AB65">IF(C65="observe",channel_av_observe,"") &amp; IF(C65="register",channel_av_register,"")  &amp; IF(C65="listen",channel_av_listen,"")</f>
        <v/>
      </c>
      <c r="AC65" s="36" t="str">
        <f t="shared" si="55"/>
        <v/>
      </c>
      <c r="AD65" s="36" t="str">
        <f t="shared" si="56"/>
        <v/>
      </c>
      <c r="AE65" s="42" t="s">
        <v>103</v>
      </c>
      <c r="AF65" s="37" t="s">
        <v>205</v>
      </c>
      <c r="AG65" s="37"/>
      <c r="AH65" s="37" t="s">
        <v>206</v>
      </c>
      <c r="AI65" s="37"/>
      <c r="AJ65" s="114">
        <f>A65</f>
        <v>61</v>
      </c>
      <c r="AK65" s="56" t="str">
        <f t="shared" si="88"/>
        <v>061_puppet</v>
      </c>
      <c r="AL65" s="37"/>
      <c r="AM65" s="133"/>
      <c r="AN65" s="37"/>
      <c r="AO65" s="37"/>
      <c r="AP65" s="37"/>
      <c r="AQ65" s="37"/>
      <c r="AR65" s="37"/>
      <c r="AS65" s="37"/>
      <c r="AT65" s="37"/>
      <c r="AU65" s="37"/>
      <c r="AV65" s="37"/>
      <c r="AW65" s="37"/>
      <c r="AX65" s="37"/>
      <c r="AY65" s="37"/>
      <c r="AZ65" s="37"/>
      <c r="BA65" s="37"/>
      <c r="BB65" s="37"/>
      <c r="BC65" s="41"/>
      <c r="BD65" s="42"/>
      <c r="BE65" s="42"/>
      <c r="BF65" s="41"/>
      <c r="BG65" s="108"/>
      <c r="BH65" s="108"/>
      <c r="BI65" s="108" t="s">
        <v>77</v>
      </c>
      <c r="BJ65" s="110"/>
      <c r="BK65" s="41"/>
      <c r="BL65" s="42" t="s">
        <v>120</v>
      </c>
      <c r="BM65" s="35" t="s">
        <v>131</v>
      </c>
      <c r="BN65" s="35">
        <v>0</v>
      </c>
      <c r="BO65" s="35">
        <v>0</v>
      </c>
      <c r="BP65" s="35">
        <v>-8</v>
      </c>
      <c r="BQ65" s="35">
        <v>0</v>
      </c>
      <c r="BR65" s="41"/>
      <c r="BS65" s="35">
        <v>-1</v>
      </c>
      <c r="BT65" s="35">
        <v>-1</v>
      </c>
      <c r="BU65" s="35">
        <v>-1</v>
      </c>
      <c r="BV65" s="35">
        <v>-1</v>
      </c>
      <c r="BW65" s="35">
        <v>-1</v>
      </c>
      <c r="BX65" s="41"/>
      <c r="BY65" s="34"/>
      <c r="BZ65" s="43" t="s">
        <v>165</v>
      </c>
      <c r="CA65" s="43" t="s">
        <v>165</v>
      </c>
      <c r="CB65" s="158" t="str">
        <f t="shared" si="58"/>
        <v>{"azure":{"style":"Whispering","degree":0.8,"pause":0,"pitch":0,"rate":-8,"volume":0},"emotion":{"sadness":-1,"joy":-1,"fear":-1,"disgust":-1,"anger":-1},"sgcom":{"mood":"","scale":-1}}</v>
      </c>
      <c r="AOE65" s="28"/>
    </row>
    <row r="66" spans="1:80 1071:1071" s="27" customFormat="1">
      <c r="A66" s="32">
        <f t="shared" si="15"/>
        <v>62</v>
      </c>
      <c r="B66" s="32"/>
      <c r="C66" s="32" t="s">
        <v>109</v>
      </c>
      <c r="D66" s="32"/>
      <c r="E66" s="34" t="s">
        <v>110</v>
      </c>
      <c r="F66" s="34" t="str">
        <f t="shared" si="79"/>
        <v/>
      </c>
      <c r="G66" s="34" t="str">
        <f t="shared" si="0"/>
        <v>unmute</v>
      </c>
      <c r="H66" s="116" t="str">
        <f t="shared" si="48"/>
        <v>{"av-command": "stt-control", "data": {"listening": true}}</v>
      </c>
      <c r="I66" s="36" t="str">
        <f t="shared" si="2"/>
        <v/>
      </c>
      <c r="J66" s="36" t="str">
        <f t="shared" si="49"/>
        <v/>
      </c>
      <c r="K66" s="116" t="str">
        <f t="shared" si="27"/>
        <v/>
      </c>
      <c r="L66" s="36"/>
      <c r="M66" s="136" t="str">
        <f t="shared" si="45"/>
        <v>mute</v>
      </c>
      <c r="N66" s="116" t="str">
        <f t="shared" si="50"/>
        <v>{ "command": "mute", "entity": "Eliza", "data" : null}</v>
      </c>
      <c r="O66" s="129" t="str">
        <f t="shared" si="80"/>
        <v>{ "command": "mute", "entity": "Eliza", "data" : null}</v>
      </c>
      <c r="P66" s="81"/>
      <c r="Q66" s="37" t="str">
        <f t="shared" si="52"/>
        <v/>
      </c>
      <c r="R66" s="141"/>
      <c r="S66" s="148" t="str">
        <f t="shared" si="53"/>
        <v>user_spoke</v>
      </c>
      <c r="T66" s="137" t="str">
        <f t="shared" si="54"/>
        <v>{"words-in" : { "entity" : "user"} }</v>
      </c>
      <c r="U66" s="45"/>
      <c r="V66" s="35" t="str">
        <f>IF(OR(P66="",Y66=""),"",osc_exe_npmosc&amp;" --host "&amp;osc_ip&amp;":"&amp;osc_port_control&amp;" "&amp;Z66&amp; "  " &amp; j_qot &amp;X66 &amp; j_qot)</f>
        <v/>
      </c>
      <c r="W66" s="36" t="str">
        <f t="shared" si="82"/>
        <v/>
      </c>
      <c r="X66" s="36" t="str">
        <f t="shared" si="83"/>
        <v/>
      </c>
      <c r="Y66" s="34"/>
      <c r="Z66" s="36" t="str">
        <f t="shared" si="47"/>
        <v/>
      </c>
      <c r="AA66" s="36"/>
      <c r="AB66" s="36" t="str" cm="1">
        <f t="array" ref="AB66">IF(C66="observe",channel_av_observe,"") &amp; IF(C66="register",channel_av_register,"")  &amp; IF(C66="listen",channel_av_listen,"")</f>
        <v>/listen</v>
      </c>
      <c r="AC66" s="36" t="str">
        <f t="shared" si="55"/>
        <v/>
      </c>
      <c r="AD66" s="36" t="str">
        <f t="shared" si="56"/>
        <v/>
      </c>
      <c r="AE66" s="42"/>
      <c r="AF66" s="46" t="s">
        <v>207</v>
      </c>
      <c r="AG66" s="46"/>
      <c r="AH66" s="47"/>
      <c r="AI66" s="47"/>
      <c r="AJ66" s="47"/>
      <c r="AK66" s="56" t="str">
        <f t="shared" si="88"/>
        <v/>
      </c>
      <c r="AL66" s="47"/>
      <c r="AM66" s="133"/>
      <c r="AN66" s="47"/>
      <c r="AO66" s="47"/>
      <c r="AP66" s="47"/>
      <c r="AQ66" s="47"/>
      <c r="AR66" s="47"/>
      <c r="AS66" s="47"/>
      <c r="AT66" s="47"/>
      <c r="AU66" s="47"/>
      <c r="AV66" s="47"/>
      <c r="AW66" s="47"/>
      <c r="AX66" s="47"/>
      <c r="AY66" s="47"/>
      <c r="AZ66" s="47"/>
      <c r="BA66" s="47"/>
      <c r="BB66" s="47"/>
      <c r="BC66" s="48"/>
      <c r="BD66" s="42"/>
      <c r="BE66" s="35"/>
      <c r="BF66" s="48"/>
      <c r="BG66" s="108"/>
      <c r="BH66" s="108"/>
      <c r="BI66" s="108" t="s">
        <v>77</v>
      </c>
      <c r="BJ66" s="110"/>
      <c r="BK66" s="48"/>
      <c r="BL66" s="47"/>
      <c r="BM66" s="35"/>
      <c r="BN66" s="35"/>
      <c r="BO66" s="35"/>
      <c r="BP66" s="35"/>
      <c r="BQ66" s="35"/>
      <c r="BR66" s="48"/>
      <c r="BS66" s="35"/>
      <c r="BT66" s="35"/>
      <c r="BU66" s="35"/>
      <c r="BV66" s="35"/>
      <c r="BW66" s="35"/>
      <c r="BX66" s="48"/>
      <c r="BY66" s="34"/>
      <c r="BZ66" s="43"/>
      <c r="CA66" s="43"/>
      <c r="CB66" s="158" t="str">
        <f t="shared" si="58"/>
        <v/>
      </c>
      <c r="AOE66" s="28"/>
    </row>
    <row r="67" spans="1:80 1071:1071" s="27" customFormat="1">
      <c r="A67" s="32">
        <f>A66+1</f>
        <v>63</v>
      </c>
      <c r="B67" s="32"/>
      <c r="C67" s="32" t="s">
        <v>100</v>
      </c>
      <c r="D67" s="32"/>
      <c r="E67" s="34" t="s">
        <v>101</v>
      </c>
      <c r="F67" s="34" t="str">
        <f t="shared" si="79"/>
        <v/>
      </c>
      <c r="G67" s="34" t="str">
        <f t="shared" si="0"/>
        <v>mute</v>
      </c>
      <c r="H67" s="116" t="str">
        <f t="shared" ref="H67:H72" si="89">IFERROR(LOOKUP(G67, table_observe_commands),"")</f>
        <v>{"av-command": "stt-control", "data": {"listening": false}}</v>
      </c>
      <c r="I67" s="36" t="str">
        <f t="shared" si="2"/>
        <v/>
      </c>
      <c r="J67" s="36" t="str">
        <f t="shared" ref="J67:J72" si="90">IFERROR(LOOKUP(I67, table_td_commands),"")</f>
        <v/>
      </c>
      <c r="K67" s="116" t="str">
        <f t="shared" si="27"/>
        <v/>
      </c>
      <c r="L67" s="36"/>
      <c r="M67" s="136" t="str">
        <f t="shared" si="45"/>
        <v>speak</v>
      </c>
      <c r="N67" s="116" t="str">
        <f t="shared" ref="N67:N72" si="91">IFERROR(LOOKUP(M67, table_bot_commands),"")</f>
        <v>{ "command": "speak", "entity": "Eliza", "data" : { "text" : "%text"}}</v>
      </c>
      <c r="O67" s="129" t="str">
        <f t="shared" si="80"/>
        <v>{ "command": "speak", "entity": "Eliza", "data" : { "text" : "Interesting. Are there thoughts and feelings in your live that you try to avoid because they [prosody pitch=-15 rate=-10]hurt[/prosody] you?"}}</v>
      </c>
      <c r="P67" s="37" t="str">
        <f>IF(Y67&lt;&gt;"x","",j_opn&amp;"id"&amp;j_sep&amp;A67 &amp; j_nxt&amp;label_deepfake_name &amp; j_sep &amp; AH67 &amp; j_nxt&amp; "type" &amp; j_sep &amp; label_meat &amp; j_nxt&amp; "channel" &amp;j_sep&amp;Z67&amp;j_nxt&amp;label_role&amp;j_sep&amp;AE67&amp;j_nxt&amp;label_text&amp;j_sep&amp;AF67&amp;j_nxt&amp;label_gpt_emo&amp;j_sep&amp;BD67&amp;j_nxt&amp;label_gpt_tone&amp;j_sep&amp;BE67&amp;j_nxt&amp;label_animate&amp;j_sub_opn&amp;label_pre&amp;j_sep&amp;IF(do_anim=FALSE,"",BG67)&amp;j_nxt&amp;label_post&amp;j_sep&amp;IF(do_anim="","",BH67)&amp;j_nxt&amp;label_next_state&amp;j_sep&amp;BI67&amp;J_sub_cls&amp;label_azure&amp;j_sub_opn&amp;label_style&amp;j_sep&amp;BL67&amp;j_nxt&amp;label_degree&amp;J_sep_num&amp;BM67&amp;j_nxt_num&amp;label_pause&amp;J_sep_num&amp;BN67&amp;j_nxt_num&amp;label_pitch&amp;J_sep_num&amp;BO67&amp;j_nxt_num&amp;label_rate&amp;J_sep_num&amp;BP67&amp;j_nxt_num&amp;label_volume&amp;J_sep_num&amp;BQ67&amp;j_sub_cls_num&amp;label_emotion&amp;j_sub_opn&amp;label_sad&amp;J_sep_num&amp;BS67&amp;j_nxt_num&amp;label_joy&amp;J_sep_num&amp;BT67&amp;j_nxt_num&amp;label_fear&amp;J_sep_num&amp;BU67&amp;j_nxt_num&amp;label_disgust&amp;J_sep_num&amp;BV67&amp;j_nxt_num&amp;label_anger&amp;J_sep_num&amp;BW67&amp;j_sub_cls_num&amp;label_sg&amp;j_sub_opn&amp;label_mood&amp;j_sep&amp;BY67&amp;j_nxt&amp;label_scale&amp;J_sep_num&amp;BZ67&amp;j_end_num)</f>
        <v>{"id":"63","name":"avoid","type":"meat","channel":"say","role":"mask","text":"Interesting. Are there thoughts and feelings in your live that you try to avoid because they [prosody pitch=-15 rate=-10]hurt[/prosody] you?","gpt_emotion":"","gpt_tone":"","animate":{"pre":"","post":"","next_state":""},"azure":{"style":"","degree":0,"pause":0,"pitch":0,"rate":-8,"volume":0},"emotion":{"sadness":-1,"joy":-1,"fear":-1,"disgust":-1,"anger":-1},"sgcom":{"mood":"","scale":-1}}</v>
      </c>
      <c r="Q67" s="37" t="str">
        <f t="shared" si="52"/>
        <v>{"id":"63","name":"avoid","type":"meat","channel":"say","role":"mask","text":"Interesting. Are there thoughts and feelings in your live that you try to avoid because they [prosody pitch=-15 rate=-10]hurt[/prosody] you?","gpt_emotion":"","gpt_tone":"","animate":{"pre":"","post":"","next_state":""},"azure":{"style":"","degree":0,"pause":0,"pitch":0,"rate":-8,"volume":0},"emotion":{"sadness":-1,"joy":-1,"fear":-1,"disgust":-1,"anger":-1},"sgcom":{"mood":"","scale":-1}}</v>
      </c>
      <c r="R67" s="141"/>
      <c r="S67" s="148" t="str">
        <f t="shared" si="53"/>
        <v>mask_spoke</v>
      </c>
      <c r="T67" s="137" t="str">
        <f t="shared" si="54"/>
        <v>{"words-in" : { "entity" : "Eliza"} }</v>
      </c>
      <c r="U67" s="45"/>
      <c r="V67" s="35" t="str">
        <f>IF(OR(P67="",Y67=""),"",osc_exe_npmosc&amp;" --host "&amp;osc_ip&amp;":"&amp;osc_port_control&amp;" "&amp; osc_channel_meat_stub &amp; "  " &amp; j_qot &amp;X67 &amp; j_qot)</f>
        <v>/opt/homebrew/bin/osc --host 10.10.10.10:5918 /meat  "{#Qid#Q:#Q63#Q#C#Qname#Q:#Qavoid#Q#C#Qtype#Q:#Qmeat#Q#C#Qchannel#Q:#Qsay#Q#C#Qrole#Q:#Qmask#Q#C#Qtext#Q:#QInteresting.#SAre#Sthere#Sthoughts#Sand#Sfeelings#Sin#Syour#Slive#Sthat#Syou#Stry#Sto#Savoid#Sbecause#Sthey#S[prosody#Spitch=-15#Srate=-10]hurt[/prosody]#Syou?#Q#C#Qgpt_emotion#Q:#Q#Q#C#Qgpt_tone#Q:#Q#Q#C#Qanimate#Q:{#Qpre#Q:#Q#Q#C#Qpost#Q:#Q#Q#C#Qnext_state#Q:#Q#Q}#C#Qazure#Q:{#Qstyle#Q:#Q#Q#C#Qdegree#Q:0#C#Qpause#Q:0#C#Qpitch#Q:0#C#Qrate#Q:-8#C#Qvolume#Q:0}#C#Qemotion#Q:{#Qsadness#Q:-1#C#Qjoy#Q:-1#C#Qfear#Q:-1#C#Qdisgust#Q:-1#C#Qanger#Q:-1}#C#Qsgcom#Q:{#Qmood#Q:#Q#Q#C#Qscale#Q:-1}}"</v>
      </c>
      <c r="W67" s="36" t="str">
        <f t="shared" si="82"/>
        <v>/opt/homebrew/bin/sendosc 10.10.10.10 5918 say s {\"id\":\"63\",\"name\":\"avoid\",\"type\":\"meat\",\"channel\":\"say\",\"role\":\"mask\",\"text\":\"Interesting.\ Are\ there\ thoughts\ and\ feelings\ in\ your\ live\ that\ you\ try\ to\ avoid\ because\ they\ [prosody\ pitch=-15\ rate=-10]hurt[/prosody]\ you\?\",\"gpt_emotion\":\"\",\"gpt_tone\":\"\",\"animate\":{\"pre\":\"\",\"post\":\"\",\"next_state\":\"\"\},\"azure\":{\"style\":\"\",\"degree\":0,\"pause\":0,\"pitch\":0,\"rate\":-8,\"volume\":0\},\"emotion\":{\"sadness\":-1,\"joy\":-1,\"fear\":-1,\"disgust\":-1,\"anger\":-1\},\"sgcom\":{\"mood\":\"\",\"scale\":-1\}\}</v>
      </c>
      <c r="X67" s="36" t="str">
        <f t="shared" si="83"/>
        <v>{#Qid#Q:#Q63#Q#C#Qname#Q:#Qavoid#Q#C#Qtype#Q:#Qmeat#Q#C#Qchannel#Q:#Qsay#Q#C#Qrole#Q:#Qmask#Q#C#Qtext#Q:#QInteresting.#SAre#Sthere#Sthoughts#Sand#Sfeelings#Sin#Syour#Slive#Sthat#Syou#Stry#Sto#Savoid#Sbecause#Sthey#S[prosody#Spitch=-15#Srate=-10]hurt[/prosody]#Syou?#Q#C#Qgpt_emotion#Q:#Q#Q#C#Qgpt_tone#Q:#Q#Q#C#Qanimate#Q:{#Qpre#Q:#Q#Q#C#Qpost#Q:#Q#Q#C#Qnext_state#Q:#Q#Q}#C#Qazure#Q:{#Qstyle#Q:#Q#Q#C#Qdegree#Q:0#C#Qpause#Q:0#C#Qpitch#Q:0#C#Qrate#Q:-8#C#Qvolume#Q:0}#C#Qemotion#Q:{#Qsadness#Q:-1#C#Qjoy#Q:-1#C#Qfear#Q:-1#C#Qdisgust#Q:-1#C#Qanger#Q:-1}#C#Qsgcom#Q:{#Qmood#Q:#Q#Q#C#Qscale#Q:-1}}</v>
      </c>
      <c r="Y67" s="40" t="s">
        <v>102</v>
      </c>
      <c r="Z67" s="36" t="str">
        <f t="shared" si="47"/>
        <v>say</v>
      </c>
      <c r="AA67" s="36"/>
      <c r="AB67" s="36" t="str" cm="1">
        <f t="array" ref="AB67">IF(C67="observe",channel_av_observe,"") &amp; IF(C67="register",channel_av_register,"")  &amp; IF(C67="listen",channel_av_listen,"")</f>
        <v/>
      </c>
      <c r="AC67" s="36" t="str">
        <f t="shared" si="55"/>
        <v/>
      </c>
      <c r="AD67" s="36" t="str">
        <f t="shared" si="56"/>
        <v/>
      </c>
      <c r="AE67" s="42" t="s">
        <v>103</v>
      </c>
      <c r="AF67" s="37" t="s">
        <v>208</v>
      </c>
      <c r="AG67" s="37"/>
      <c r="AH67" s="37" t="s">
        <v>209</v>
      </c>
      <c r="AI67" s="37"/>
      <c r="AJ67" s="114">
        <f>A67</f>
        <v>63</v>
      </c>
      <c r="AK67" s="56" t="str">
        <f t="shared" ref="AK67:AK72" si="92">IF(AH67="","",TEXT(SUBSTITUTE(AJ67," ","_"),"000") &amp; "_" &amp; AH67)</f>
        <v>063_avoid</v>
      </c>
      <c r="AL67" s="37"/>
      <c r="AM67" s="133"/>
      <c r="AN67" s="37"/>
      <c r="AO67" s="37"/>
      <c r="AP67" s="37"/>
      <c r="AQ67" s="37"/>
      <c r="AR67" s="37"/>
      <c r="AS67" s="37"/>
      <c r="AT67" s="37"/>
      <c r="AU67" s="37"/>
      <c r="AV67" s="37"/>
      <c r="AW67" s="37"/>
      <c r="AX67" s="37"/>
      <c r="AY67" s="37"/>
      <c r="AZ67" s="37"/>
      <c r="BA67" s="37"/>
      <c r="BB67" s="37"/>
      <c r="BC67" s="41"/>
      <c r="BD67" s="42"/>
      <c r="BE67" s="42"/>
      <c r="BF67" s="41"/>
      <c r="BG67" s="108"/>
      <c r="BH67" s="108"/>
      <c r="BI67" s="108" t="s">
        <v>77</v>
      </c>
      <c r="BJ67" s="110"/>
      <c r="BK67" s="41"/>
      <c r="BL67" s="42"/>
      <c r="BM67" s="35">
        <v>0</v>
      </c>
      <c r="BN67" s="35">
        <v>0</v>
      </c>
      <c r="BO67" s="35">
        <v>0</v>
      </c>
      <c r="BP67" s="35">
        <v>-8</v>
      </c>
      <c r="BQ67" s="35">
        <v>0</v>
      </c>
      <c r="BR67" s="41"/>
      <c r="BS67" s="35">
        <v>-1</v>
      </c>
      <c r="BT67" s="35">
        <v>-1</v>
      </c>
      <c r="BU67" s="35">
        <v>-1</v>
      </c>
      <c r="BV67" s="35">
        <v>-1</v>
      </c>
      <c r="BW67" s="35">
        <v>-1</v>
      </c>
      <c r="BX67" s="41"/>
      <c r="BY67" s="34"/>
      <c r="BZ67" s="43" t="s">
        <v>165</v>
      </c>
      <c r="CA67" s="43" t="s">
        <v>165</v>
      </c>
      <c r="CB67" s="158" t="str">
        <f t="shared" si="58"/>
        <v>{"azure":{"style":"","degree":0,"pause":0,"pitch":0,"rate":-8,"volume":0},"emotion":{"sadness":-1,"joy":-1,"fear":-1,"disgust":-1,"anger":-1},"sgcom":{"mood":"","scale":-1}}</v>
      </c>
      <c r="AOE67" s="28"/>
    </row>
    <row r="68" spans="1:80 1071:1071" s="27" customFormat="1">
      <c r="A68" s="32">
        <f>A67+1</f>
        <v>64</v>
      </c>
      <c r="B68" s="32"/>
      <c r="C68" s="32" t="s">
        <v>109</v>
      </c>
      <c r="D68" s="32"/>
      <c r="E68" s="34" t="s">
        <v>110</v>
      </c>
      <c r="F68" s="34" t="str">
        <f t="shared" si="79"/>
        <v/>
      </c>
      <c r="G68" s="34" t="str">
        <f t="shared" si="0"/>
        <v>unmute</v>
      </c>
      <c r="H68" s="116" t="str">
        <f t="shared" si="89"/>
        <v>{"av-command": "stt-control", "data": {"listening": true}}</v>
      </c>
      <c r="I68" s="36" t="str">
        <f t="shared" si="2"/>
        <v/>
      </c>
      <c r="J68" s="36" t="str">
        <f t="shared" si="90"/>
        <v/>
      </c>
      <c r="K68" s="116" t="str">
        <f t="shared" si="27"/>
        <v/>
      </c>
      <c r="L68" s="36"/>
      <c r="M68" s="136" t="str">
        <f t="shared" si="45"/>
        <v>mute</v>
      </c>
      <c r="N68" s="116" t="str">
        <f t="shared" si="91"/>
        <v>{ "command": "mute", "entity": "Eliza", "data" : null}</v>
      </c>
      <c r="O68" s="129" t="str">
        <f t="shared" si="80"/>
        <v>{ "command": "mute", "entity": "Eliza", "data" : null}</v>
      </c>
      <c r="P68" s="81"/>
      <c r="Q68" s="37" t="str">
        <f t="shared" si="52"/>
        <v/>
      </c>
      <c r="R68" s="141"/>
      <c r="S68" s="148" t="str">
        <f t="shared" si="53"/>
        <v>user_spoke</v>
      </c>
      <c r="T68" s="137" t="str">
        <f t="shared" si="54"/>
        <v>{"words-in" : { "entity" : "user"} }</v>
      </c>
      <c r="U68" s="45"/>
      <c r="V68" s="35" t="str">
        <f>IF(OR(P68="",Y68=""),"",osc_exe_npmosc&amp;" --host "&amp;osc_ip&amp;":"&amp;osc_port_control&amp;" "&amp;Z68&amp; "  " &amp; j_qot &amp;X68 &amp; j_qot)</f>
        <v/>
      </c>
      <c r="W68" s="36" t="str">
        <f t="shared" si="82"/>
        <v/>
      </c>
      <c r="X68" s="36" t="str">
        <f t="shared" si="83"/>
        <v/>
      </c>
      <c r="Y68" s="34"/>
      <c r="Z68" s="36" t="str">
        <f t="shared" ref="Z68:Z99" si="93">IF(Y68&lt;&gt;"x","",IF(OR(C68="speak",C68="speak_gpt",C68="screen_azurevoice"),osc_channel_meat_say,IF(C68="play",osc_channel_meat_play,IF(C68="faketomask",osc_channel_meat_fake,IF(C68="state",osc_channel_meat_state,"")))))</f>
        <v/>
      </c>
      <c r="AA68" s="36"/>
      <c r="AB68" s="36" t="str" cm="1">
        <f t="array" ref="AB68">IF(C68="observe",channel_av_observe,"") &amp; IF(C68="register",channel_av_register,"")  &amp; IF(C68="listen",channel_av_listen,"")</f>
        <v>/listen</v>
      </c>
      <c r="AC68" s="36" t="str">
        <f t="shared" si="55"/>
        <v/>
      </c>
      <c r="AD68" s="36" t="str">
        <f t="shared" si="56"/>
        <v/>
      </c>
      <c r="AE68" s="42"/>
      <c r="AF68" s="46" t="s">
        <v>210</v>
      </c>
      <c r="AG68" s="46"/>
      <c r="AH68" s="47"/>
      <c r="AI68" s="47"/>
      <c r="AJ68" s="47"/>
      <c r="AK68" s="56" t="str">
        <f t="shared" si="92"/>
        <v/>
      </c>
      <c r="AL68" s="47"/>
      <c r="AM68" s="133"/>
      <c r="AN68" s="47"/>
      <c r="AO68" s="47"/>
      <c r="AP68" s="47"/>
      <c r="AQ68" s="47"/>
      <c r="AR68" s="47"/>
      <c r="AS68" s="47"/>
      <c r="AT68" s="47"/>
      <c r="AU68" s="47"/>
      <c r="AV68" s="47"/>
      <c r="AW68" s="47"/>
      <c r="AX68" s="47"/>
      <c r="AY68" s="47"/>
      <c r="AZ68" s="47"/>
      <c r="BA68" s="47"/>
      <c r="BB68" s="47"/>
      <c r="BC68" s="48"/>
      <c r="BD68" s="42"/>
      <c r="BE68" s="35"/>
      <c r="BF68" s="48"/>
      <c r="BG68" s="108"/>
      <c r="BH68" s="108"/>
      <c r="BI68" s="108" t="s">
        <v>77</v>
      </c>
      <c r="BJ68" s="110"/>
      <c r="BK68" s="48"/>
      <c r="BL68" s="47"/>
      <c r="BM68" s="35"/>
      <c r="BN68" s="35"/>
      <c r="BO68" s="35"/>
      <c r="BP68" s="35"/>
      <c r="BQ68" s="35"/>
      <c r="BR68" s="48"/>
      <c r="BS68" s="35"/>
      <c r="BT68" s="35"/>
      <c r="BU68" s="35"/>
      <c r="BV68" s="35"/>
      <c r="BW68" s="35"/>
      <c r="BX68" s="48"/>
      <c r="BY68" s="34"/>
      <c r="BZ68" s="43"/>
      <c r="CA68" s="43"/>
      <c r="CB68" s="158" t="str">
        <f t="shared" si="58"/>
        <v/>
      </c>
      <c r="AOE68" s="28"/>
    </row>
    <row r="69" spans="1:80 1071:1071" s="27" customFormat="1">
      <c r="A69" s="32">
        <f>A68+1</f>
        <v>65</v>
      </c>
      <c r="B69" s="32"/>
      <c r="C69" s="32" t="s">
        <v>100</v>
      </c>
      <c r="D69" s="32"/>
      <c r="E69" s="34" t="s">
        <v>101</v>
      </c>
      <c r="F69" s="34" t="str">
        <f t="shared" si="79"/>
        <v/>
      </c>
      <c r="G69" s="34" t="str">
        <f t="shared" ref="G69:G123" si="94">IF(F69&lt;&gt;"",F69, IF(C69="listen","unmute","") &amp; IF(OR(C69="speak",C69="maketext",C69="play",C69="screen"),"mute","") )</f>
        <v>mute</v>
      </c>
      <c r="H69" s="116" t="str">
        <f t="shared" si="89"/>
        <v>{"av-command": "stt-control", "data": {"listening": false}}</v>
      </c>
      <c r="I69" s="36" t="str">
        <f t="shared" si="2"/>
        <v/>
      </c>
      <c r="J69" s="36" t="str">
        <f t="shared" si="90"/>
        <v/>
      </c>
      <c r="K69" s="116" t="str">
        <f t="shared" si="27"/>
        <v/>
      </c>
      <c r="L69" s="36"/>
      <c r="M69" s="136" t="str">
        <f t="shared" si="45"/>
        <v>speak</v>
      </c>
      <c r="N69" s="116" t="str">
        <f t="shared" si="91"/>
        <v>{ "command": "speak", "entity": "Eliza", "data" : { "text" : "%text"}}</v>
      </c>
      <c r="O69" s="129" t="str">
        <f t="shared" si="80"/>
        <v>{ "command": "speak", "entity": "Eliza", "data" : { "text" : "And how do you feel about that?"}}</v>
      </c>
      <c r="P69" s="37" t="str">
        <f>IF(Y69&lt;&gt;"x","",j_opn&amp;"id"&amp;j_sep&amp;A69 &amp; j_nxt&amp;label_deepfake_name &amp; j_sep &amp; AH69 &amp; j_nxt&amp; "type" &amp; j_sep &amp; label_meat &amp; j_nxt&amp; "channel" &amp;j_sep&amp;Z69&amp;j_nxt&amp;label_role&amp;j_sep&amp;AE69&amp;j_nxt&amp;label_text&amp;j_sep&amp;AF69&amp;j_nxt&amp;label_gpt_emo&amp;j_sep&amp;BD69&amp;j_nxt&amp;label_gpt_tone&amp;j_sep&amp;BE69&amp;j_nxt&amp;label_animate&amp;j_sub_opn&amp;label_pre&amp;j_sep&amp;IF(do_anim=FALSE,"",BG69)&amp;j_nxt&amp;label_post&amp;j_sep&amp;IF(do_anim="","",BH69)&amp;j_nxt&amp;label_next_state&amp;j_sep&amp;BI69&amp;J_sub_cls&amp;label_azure&amp;j_sub_opn&amp;label_style&amp;j_sep&amp;BL69&amp;j_nxt&amp;label_degree&amp;J_sep_num&amp;BM69&amp;j_nxt_num&amp;label_pause&amp;J_sep_num&amp;BN69&amp;j_nxt_num&amp;label_pitch&amp;J_sep_num&amp;BO69&amp;j_nxt_num&amp;label_rate&amp;J_sep_num&amp;BP69&amp;j_nxt_num&amp;label_volume&amp;J_sep_num&amp;BQ69&amp;j_sub_cls_num&amp;label_emotion&amp;j_sub_opn&amp;label_sad&amp;J_sep_num&amp;BS69&amp;j_nxt_num&amp;label_joy&amp;J_sep_num&amp;BT69&amp;j_nxt_num&amp;label_fear&amp;J_sep_num&amp;BU69&amp;j_nxt_num&amp;label_disgust&amp;J_sep_num&amp;BV69&amp;j_nxt_num&amp;label_anger&amp;J_sep_num&amp;BW69&amp;j_sub_cls_num&amp;label_sg&amp;j_sub_opn&amp;label_mood&amp;j_sep&amp;BY69&amp;j_nxt&amp;label_scale&amp;J_sep_num&amp;BZ69&amp;j_end_num)</f>
        <v>{"id":"65","name":"avoid","type":"meat","channel":"say","role":"mask","text":"And how do you feel about that?","gpt_emotion":"","gpt_tone":"","animate":{"pre":"","post":"","next_state":""},"azure":{"style":"","degree":0,"pause":0,"pitch":0,"rate":-8,"volume":0},"emotion":{"sadness":-1,"joy":-1,"fear":-1,"disgust":-1,"anger":-1},"sgcom":{"mood":"","scale":-1}}</v>
      </c>
      <c r="Q69" s="37" t="str">
        <f t="shared" si="52"/>
        <v>{"id":"65","name":"avoid","type":"meat","channel":"say","role":"mask","text":"And how do you feel about that?","gpt_emotion":"","gpt_tone":"","animate":{"pre":"","post":"","next_state":""},"azure":{"style":"","degree":0,"pause":0,"pitch":0,"rate":-8,"volume":0},"emotion":{"sadness":-1,"joy":-1,"fear":-1,"disgust":-1,"anger":-1},"sgcom":{"mood":"","scale":-1}}</v>
      </c>
      <c r="R69" s="141"/>
      <c r="S69" s="148" t="str">
        <f t="shared" si="53"/>
        <v>mask_spoke</v>
      </c>
      <c r="T69" s="137" t="str">
        <f t="shared" si="54"/>
        <v>{"words-in" : { "entity" : "Eliza"} }</v>
      </c>
      <c r="U69" s="45"/>
      <c r="V69" s="35" t="str">
        <f>IF(OR(P69="",Y69=""),"",osc_exe_npmosc&amp;" --host "&amp;osc_ip&amp;":"&amp;osc_port_control&amp;" "&amp; osc_channel_meat_stub &amp; "  " &amp; j_qot &amp;X69 &amp; j_qot)</f>
        <v>/opt/homebrew/bin/osc --host 10.10.10.10:5918 /meat  "{#Qid#Q:#Q65#Q#C#Qname#Q:#Qavoid#Q#C#Qtype#Q:#Qmeat#Q#C#Qchannel#Q:#Qsay#Q#C#Qrole#Q:#Qmask#Q#C#Qtext#Q:#QAnd#Show#Sdo#Syou#Sfeel#Sabout#Sthat?#Q#C#Qgpt_emotion#Q:#Q#Q#C#Qgpt_tone#Q:#Q#Q#C#Qanimate#Q:{#Qpre#Q:#Q#Q#C#Qpost#Q:#Q#Q#C#Qnext_state#Q:#Q#Q}#C#Qazure#Q:{#Qstyle#Q:#Q#Q#C#Qdegree#Q:0#C#Qpause#Q:0#C#Qpitch#Q:0#C#Qrate#Q:-8#C#Qvolume#Q:0}#C#Qemotion#Q:{#Qsadness#Q:-1#C#Qjoy#Q:-1#C#Qfear#Q:-1#C#Qdisgust#Q:-1#C#Qanger#Q:-1}#C#Qsgcom#Q:{#Qmood#Q:#Q#Q#C#Qscale#Q:-1}}"</v>
      </c>
      <c r="W69" s="36" t="str">
        <f t="shared" si="82"/>
        <v>/opt/homebrew/bin/sendosc 10.10.10.10 5918 say s {\"id\":\"65\",\"name\":\"avoid\",\"type\":\"meat\",\"channel\":\"say\",\"role\":\"mask\",\"text\":\"And\ how\ do\ you\ feel\ about\ that\?\",\"gpt_emotion\":\"\",\"gpt_tone\":\"\",\"animate\":{\"pre\":\"\",\"post\":\"\",\"next_state\":\"\"\},\"azure\":{\"style\":\"\",\"degree\":0,\"pause\":0,\"pitch\":0,\"rate\":-8,\"volume\":0\},\"emotion\":{\"sadness\":-1,\"joy\":-1,\"fear\":-1,\"disgust\":-1,\"anger\":-1\},\"sgcom\":{\"mood\":\"\",\"scale\":-1\}\}</v>
      </c>
      <c r="X69" s="36" t="str">
        <f t="shared" si="83"/>
        <v>{#Qid#Q:#Q65#Q#C#Qname#Q:#Qavoid#Q#C#Qtype#Q:#Qmeat#Q#C#Qchannel#Q:#Qsay#Q#C#Qrole#Q:#Qmask#Q#C#Qtext#Q:#QAnd#Show#Sdo#Syou#Sfeel#Sabout#Sthat?#Q#C#Qgpt_emotion#Q:#Q#Q#C#Qgpt_tone#Q:#Q#Q#C#Qanimate#Q:{#Qpre#Q:#Q#Q#C#Qpost#Q:#Q#Q#C#Qnext_state#Q:#Q#Q}#C#Qazure#Q:{#Qstyle#Q:#Q#Q#C#Qdegree#Q:0#C#Qpause#Q:0#C#Qpitch#Q:0#C#Qrate#Q:-8#C#Qvolume#Q:0}#C#Qemotion#Q:{#Qsadness#Q:-1#C#Qjoy#Q:-1#C#Qfear#Q:-1#C#Qdisgust#Q:-1#C#Qanger#Q:-1}#C#Qsgcom#Q:{#Qmood#Q:#Q#Q#C#Qscale#Q:-1}}</v>
      </c>
      <c r="Y69" s="40" t="s">
        <v>102</v>
      </c>
      <c r="Z69" s="36" t="str">
        <f t="shared" si="93"/>
        <v>say</v>
      </c>
      <c r="AA69" s="36"/>
      <c r="AB69" s="36" t="str" cm="1">
        <f t="array" ref="AB69">IF(C69="observe",channel_av_observe,"") &amp; IF(C69="register",channel_av_register,"")  &amp; IF(C69="listen",channel_av_listen,"")</f>
        <v/>
      </c>
      <c r="AC69" s="36" t="str">
        <f t="shared" si="55"/>
        <v/>
      </c>
      <c r="AD69" s="36" t="str">
        <f t="shared" si="56"/>
        <v/>
      </c>
      <c r="AE69" s="42" t="s">
        <v>103</v>
      </c>
      <c r="AF69" s="37" t="s">
        <v>563</v>
      </c>
      <c r="AG69" s="37"/>
      <c r="AH69" s="37" t="s">
        <v>209</v>
      </c>
      <c r="AI69" s="37"/>
      <c r="AJ69" s="114">
        <f>A69</f>
        <v>65</v>
      </c>
      <c r="AK69" s="56" t="str">
        <f t="shared" si="92"/>
        <v>065_avoid</v>
      </c>
      <c r="AL69" s="37"/>
      <c r="AM69" s="133"/>
      <c r="AN69" s="37"/>
      <c r="AO69" s="37"/>
      <c r="AP69" s="37"/>
      <c r="AQ69" s="37"/>
      <c r="AR69" s="37"/>
      <c r="AS69" s="37"/>
      <c r="AT69" s="37"/>
      <c r="AU69" s="37"/>
      <c r="AV69" s="37"/>
      <c r="AW69" s="37"/>
      <c r="AX69" s="37"/>
      <c r="AY69" s="37"/>
      <c r="AZ69" s="37"/>
      <c r="BA69" s="37"/>
      <c r="BB69" s="37"/>
      <c r="BC69" s="41"/>
      <c r="BD69" s="42"/>
      <c r="BE69" s="42"/>
      <c r="BF69" s="41"/>
      <c r="BG69" s="108"/>
      <c r="BH69" s="108"/>
      <c r="BI69" s="108" t="s">
        <v>77</v>
      </c>
      <c r="BJ69" s="110"/>
      <c r="BK69" s="41"/>
      <c r="BL69" s="42"/>
      <c r="BM69" s="35">
        <v>0</v>
      </c>
      <c r="BN69" s="35">
        <v>0</v>
      </c>
      <c r="BO69" s="35">
        <v>0</v>
      </c>
      <c r="BP69" s="35">
        <v>-8</v>
      </c>
      <c r="BQ69" s="35">
        <v>0</v>
      </c>
      <c r="BR69" s="41"/>
      <c r="BS69" s="35">
        <v>-1</v>
      </c>
      <c r="BT69" s="35">
        <v>-1</v>
      </c>
      <c r="BU69" s="35">
        <v>-1</v>
      </c>
      <c r="BV69" s="35">
        <v>-1</v>
      </c>
      <c r="BW69" s="35">
        <v>-1</v>
      </c>
      <c r="BX69" s="41"/>
      <c r="BY69" s="34"/>
      <c r="BZ69" s="43" t="s">
        <v>165</v>
      </c>
      <c r="CA69" s="43" t="s">
        <v>165</v>
      </c>
      <c r="CB69" s="158" t="str">
        <f t="shared" si="58"/>
        <v>{"azure":{"style":"","degree":0,"pause":0,"pitch":0,"rate":-8,"volume":0},"emotion":{"sadness":-1,"joy":-1,"fear":-1,"disgust":-1,"anger":-1},"sgcom":{"mood":"","scale":-1}}</v>
      </c>
      <c r="AOE69" s="28"/>
    </row>
    <row r="70" spans="1:80 1071:1071" s="27" customFormat="1">
      <c r="A70" s="32">
        <f>A69+1</f>
        <v>66</v>
      </c>
      <c r="B70" s="32"/>
      <c r="C70" s="32" t="s">
        <v>109</v>
      </c>
      <c r="D70" s="32"/>
      <c r="E70" s="34" t="s">
        <v>110</v>
      </c>
      <c r="F70" s="34" t="str">
        <f t="shared" si="79"/>
        <v/>
      </c>
      <c r="G70" s="34" t="str">
        <f t="shared" si="94"/>
        <v>unmute</v>
      </c>
      <c r="H70" s="116" t="str">
        <f t="shared" si="89"/>
        <v>{"av-command": "stt-control", "data": {"listening": true}}</v>
      </c>
      <c r="I70" s="36" t="str">
        <f t="shared" ref="I70:I72" si="95">IF(C70="screen","fakeplay","") &amp; IF(C70="mood","mood","") &amp; IF(C70="fakemake","fakemake","")</f>
        <v/>
      </c>
      <c r="J70" s="36" t="str">
        <f t="shared" si="90"/>
        <v/>
      </c>
      <c r="K70" s="116" t="str">
        <f t="shared" si="27"/>
        <v/>
      </c>
      <c r="L70" s="36"/>
      <c r="M70" s="136" t="str">
        <f t="shared" si="45"/>
        <v>mute</v>
      </c>
      <c r="N70" s="116" t="str">
        <f t="shared" si="91"/>
        <v>{ "command": "mute", "entity": "Eliza", "data" : null}</v>
      </c>
      <c r="O70" s="129" t="str">
        <f t="shared" si="80"/>
        <v>{ "command": "mute", "entity": "Eliza", "data" : null}</v>
      </c>
      <c r="P70" s="81"/>
      <c r="Q70" s="37" t="str">
        <f t="shared" ref="Q70:Q86" si="96">IF(AND(C70&lt;&gt;"speak_gpt",C70&lt;&gt;"faketomask"),P70,"") &amp; IF(C70="maketext",j_opn&amp;"id"&amp;j_sep&amp;A70 &amp; j_nxt &amp; "type" &amp; j_sep &amp; label_meat &amp; j_nxt&amp; "channel" &amp;j_sep  &amp; Z70&amp; j_nxt&amp; "state" &amp; j_sep &amp; "think" &amp; j_qot &amp; j_cls,"")</f>
        <v/>
      </c>
      <c r="R70" s="141"/>
      <c r="S70" s="148" t="str">
        <f t="shared" ref="S70:S91" si="97">IF(R70&lt;&gt;"", R70, IF(OR(C70="speak",C70="speak_gpt",C70="play"),trigger_mask_spoke,"") &amp; IF(C70="listen",trigger_user_spoke,"") &amp; IF(C70="maketext","mask_generated","") &amp; IF(C70="screen","clone_spoke","") )</f>
        <v>user_spoke</v>
      </c>
      <c r="T70" s="137" t="str">
        <f t="shared" ref="T70:T102" si="98">IFERROR(LOOKUP(S70,table_triggers),S70)</f>
        <v>{"words-in" : { "entity" : "user"} }</v>
      </c>
      <c r="U70" s="45"/>
      <c r="V70" s="35" t="str">
        <f>IF(OR(P70="",Y70=""),"",osc_exe_npmosc&amp;" --host "&amp;osc_ip&amp;":"&amp;osc_port_control&amp;" "&amp;Z70&amp; "  " &amp; j_qot &amp;X70 &amp; j_qot)</f>
        <v/>
      </c>
      <c r="W70" s="36" t="str">
        <f t="shared" si="82"/>
        <v/>
      </c>
      <c r="X70" s="36" t="str">
        <f t="shared" si="83"/>
        <v/>
      </c>
      <c r="Y70" s="34"/>
      <c r="Z70" s="36" t="str">
        <f t="shared" si="93"/>
        <v/>
      </c>
      <c r="AA70" s="36"/>
      <c r="AB70" s="36" t="str" cm="1">
        <f t="array" ref="AB70">IF(C70="observe",channel_av_observe,"") &amp; IF(C70="register",channel_av_register,"")  &amp; IF(C70="listen",channel_av_listen,"")</f>
        <v>/listen</v>
      </c>
      <c r="AC70" s="36" t="str">
        <f t="shared" ref="AC70:AC102" si="99">IF(C70="mood",channel_td_mood,"") &amp; IF(C70="makefakes_td",channel_td_makefakes,"") &amp; IF(C70="pause",channel_td_pause,"")  &amp; IF(C70="screen",channel_td_screen,"")</f>
        <v/>
      </c>
      <c r="AD70" s="36" t="str">
        <f t="shared" ref="AD70:AD102" si="100">IF(C70="maketext",channel_bw_generate,"")</f>
        <v/>
      </c>
      <c r="AE70" s="42"/>
      <c r="AF70" s="46" t="s">
        <v>210</v>
      </c>
      <c r="AG70" s="46"/>
      <c r="AH70" s="47"/>
      <c r="AI70" s="47"/>
      <c r="AJ70" s="47"/>
      <c r="AK70" s="56" t="str">
        <f t="shared" si="92"/>
        <v/>
      </c>
      <c r="AL70" s="47"/>
      <c r="AM70" s="133"/>
      <c r="AN70" s="47"/>
      <c r="AO70" s="47"/>
      <c r="AP70" s="47"/>
      <c r="AQ70" s="47"/>
      <c r="AR70" s="47"/>
      <c r="AS70" s="47"/>
      <c r="AT70" s="47"/>
      <c r="AU70" s="47"/>
      <c r="AV70" s="47"/>
      <c r="AW70" s="47"/>
      <c r="AX70" s="47"/>
      <c r="AY70" s="47"/>
      <c r="AZ70" s="47"/>
      <c r="BA70" s="47"/>
      <c r="BB70" s="47"/>
      <c r="BC70" s="48"/>
      <c r="BD70" s="42"/>
      <c r="BE70" s="35"/>
      <c r="BF70" s="48"/>
      <c r="BG70" s="108"/>
      <c r="BH70" s="108"/>
      <c r="BI70" s="108" t="s">
        <v>77</v>
      </c>
      <c r="BJ70" s="110"/>
      <c r="BK70" s="48"/>
      <c r="BL70" s="47"/>
      <c r="BM70" s="35"/>
      <c r="BN70" s="35"/>
      <c r="BO70" s="35"/>
      <c r="BP70" s="35"/>
      <c r="BQ70" s="35"/>
      <c r="BR70" s="48"/>
      <c r="BS70" s="35"/>
      <c r="BT70" s="35"/>
      <c r="BU70" s="35"/>
      <c r="BV70" s="35"/>
      <c r="BW70" s="35"/>
      <c r="BX70" s="48"/>
      <c r="BY70" s="34"/>
      <c r="BZ70" s="43"/>
      <c r="CA70" s="43"/>
      <c r="CB70" s="158" t="str">
        <f t="shared" si="58"/>
        <v/>
      </c>
      <c r="AOE70" s="28"/>
    </row>
    <row r="71" spans="1:80 1071:1071" s="27" customFormat="1">
      <c r="A71" s="32">
        <f>A70+1</f>
        <v>67</v>
      </c>
      <c r="B71" s="32"/>
      <c r="C71" s="32" t="s">
        <v>100</v>
      </c>
      <c r="D71" s="32"/>
      <c r="E71" s="34" t="s">
        <v>101</v>
      </c>
      <c r="F71" s="34" t="str">
        <f t="shared" si="79"/>
        <v/>
      </c>
      <c r="G71" s="34" t="str">
        <f t="shared" si="94"/>
        <v>mute</v>
      </c>
      <c r="H71" s="116" t="str">
        <f t="shared" si="89"/>
        <v>{"av-command": "stt-control", "data": {"listening": false}}</v>
      </c>
      <c r="I71" s="36" t="str">
        <f t="shared" si="95"/>
        <v/>
      </c>
      <c r="J71" s="36" t="str">
        <f t="shared" si="90"/>
        <v/>
      </c>
      <c r="K71" s="116" t="str">
        <f t="shared" si="27"/>
        <v/>
      </c>
      <c r="L71" s="36"/>
      <c r="M71" s="136" t="str">
        <f t="shared" si="45"/>
        <v>speak</v>
      </c>
      <c r="N71" s="116" t="str">
        <f t="shared" si="91"/>
        <v>{ "command": "speak", "entity": "Eliza", "data" : { "text" : "%text"}}</v>
      </c>
      <c r="O71" s="129" t="str">
        <f t="shared" si="80"/>
        <v>{ "command": "speak", "entity": "Eliza", "data" : { "text" : "Ok. Let me think…"}}</v>
      </c>
      <c r="P71" s="37" t="str">
        <f>IF(Y71&lt;&gt;"x","",j_opn&amp;"id"&amp;j_sep&amp;A71 &amp; j_nxt&amp;label_deepfake_name &amp; j_sep &amp; AH71 &amp; j_nxt&amp; "type" &amp; j_sep &amp; label_meat &amp; j_nxt&amp; "channel" &amp;j_sep&amp;Z71&amp;j_nxt&amp;label_role&amp;j_sep&amp;AE71&amp;j_nxt&amp;label_text&amp;j_sep&amp;AF71&amp;j_nxt&amp;label_gpt_emo&amp;j_sep&amp;BD71&amp;j_nxt&amp;label_gpt_tone&amp;j_sep&amp;BE71&amp;j_nxt&amp;label_animate&amp;j_sub_opn&amp;label_pre&amp;j_sep&amp;IF(do_anim=FALSE,"",BG71)&amp;j_nxt&amp;label_post&amp;j_sep&amp;IF(do_anim="","",BH71)&amp;j_nxt&amp;label_next_state&amp;j_sep&amp;BI71&amp;J_sub_cls&amp;label_azure&amp;j_sub_opn&amp;label_style&amp;j_sep&amp;BL71&amp;j_nxt&amp;label_degree&amp;J_sep_num&amp;BM71&amp;j_nxt_num&amp;label_pause&amp;J_sep_num&amp;BN71&amp;j_nxt_num&amp;label_pitch&amp;J_sep_num&amp;BO71&amp;j_nxt_num&amp;label_rate&amp;J_sep_num&amp;BP71&amp;j_nxt_num&amp;label_volume&amp;J_sep_num&amp;BQ71&amp;j_sub_cls_num&amp;label_emotion&amp;j_sub_opn&amp;label_sad&amp;J_sep_num&amp;BS71&amp;j_nxt_num&amp;label_joy&amp;J_sep_num&amp;BT71&amp;j_nxt_num&amp;label_fear&amp;J_sep_num&amp;BU71&amp;j_nxt_num&amp;label_disgust&amp;J_sep_num&amp;BV71&amp;j_nxt_num&amp;label_anger&amp;J_sep_num&amp;BW71&amp;j_sub_cls_num&amp;label_sg&amp;j_sub_opn&amp;label_mood&amp;j_sep&amp;BY71&amp;j_nxt&amp;label_scale&amp;J_sep_num&amp;BZ71&amp;j_end_num)</f>
        <v>{"id":"67","name":"avoid","type":"meat","channel":"say","role":"mask","text":"Ok. Let me think…","gpt_emotion":"","gpt_tone":"","animate":{"pre":"","post":"","next_state":""},"azure":{"style":"","degree":0,"pause":0,"pitch":0,"rate":-8,"volume":0},"emotion":{"sadness":-1,"joy":-1,"fear":-1,"disgust":-1,"anger":-1},"sgcom":{"mood":"","scale":-1}}</v>
      </c>
      <c r="Q71" s="37" t="str">
        <f t="shared" si="96"/>
        <v>{"id":"67","name":"avoid","type":"meat","channel":"say","role":"mask","text":"Ok. Let me think…","gpt_emotion":"","gpt_tone":"","animate":{"pre":"","post":"","next_state":""},"azure":{"style":"","degree":0,"pause":0,"pitch":0,"rate":-8,"volume":0},"emotion":{"sadness":-1,"joy":-1,"fear":-1,"disgust":-1,"anger":-1},"sgcom":{"mood":"","scale":-1}}</v>
      </c>
      <c r="R71" s="141"/>
      <c r="S71" s="148" t="str">
        <f t="shared" si="97"/>
        <v>mask_spoke</v>
      </c>
      <c r="T71" s="137" t="str">
        <f t="shared" si="98"/>
        <v>{"words-in" : { "entity" : "Eliza"} }</v>
      </c>
      <c r="U71" s="45"/>
      <c r="V71" s="35" t="str">
        <f>IF(OR(P71="",Y71=""),"",osc_exe_npmosc&amp;" --host "&amp;osc_ip&amp;":"&amp;osc_port_control&amp;" "&amp; osc_channel_meat_stub &amp; "  " &amp; j_qot &amp;X71 &amp; j_qot)</f>
        <v>/opt/homebrew/bin/osc --host 10.10.10.10:5918 /meat  "{#Qid#Q:#Q67#Q#C#Qname#Q:#Qavoid#Q#C#Qtype#Q:#Qmeat#Q#C#Qchannel#Q:#Qsay#Q#C#Qrole#Q:#Qmask#Q#C#Qtext#Q:#QOk.#SLet#Sme#Sthink…#Q#C#Qgpt_emotion#Q:#Q#Q#C#Qgpt_tone#Q:#Q#Q#C#Qanimate#Q:{#Qpre#Q:#Q#Q#C#Qpost#Q:#Q#Q#C#Qnext_state#Q:#Q#Q}#C#Qazure#Q:{#Qstyle#Q:#Q#Q#C#Qdegree#Q:0#C#Qpause#Q:0#C#Qpitch#Q:0#C#Qrate#Q:-8#C#Qvolume#Q:0}#C#Qemotion#Q:{#Qsadness#Q:-1#C#Qjoy#Q:-1#C#Qfear#Q:-1#C#Qdisgust#Q:-1#C#Qanger#Q:-1}#C#Qsgcom#Q:{#Qmood#Q:#Q#Q#C#Qscale#Q:-1}}"</v>
      </c>
      <c r="W71" s="36" t="str">
        <f t="shared" si="82"/>
        <v>/opt/homebrew/bin/sendosc 10.10.10.10 5918 say s {\"id\":\"67\",\"name\":\"avoid\",\"type\":\"meat\",\"channel\":\"say\",\"role\":\"mask\",\"text\":\"Ok.\ Let\ me\ think…\",\"gpt_emotion\":\"\",\"gpt_tone\":\"\",\"animate\":{\"pre\":\"\",\"post\":\"\",\"next_state\":\"\"\},\"azure\":{\"style\":\"\",\"degree\":0,\"pause\":0,\"pitch\":0,\"rate\":-8,\"volume\":0\},\"emotion\":{\"sadness\":-1,\"joy\":-1,\"fear\":-1,\"disgust\":-1,\"anger\":-1\},\"sgcom\":{\"mood\":\"\",\"scale\":-1\}\}</v>
      </c>
      <c r="X71" s="36" t="str">
        <f t="shared" si="83"/>
        <v>{#Qid#Q:#Q67#Q#C#Qname#Q:#Qavoid#Q#C#Qtype#Q:#Qmeat#Q#C#Qchannel#Q:#Qsay#Q#C#Qrole#Q:#Qmask#Q#C#Qtext#Q:#QOk.#SLet#Sme#Sthink…#Q#C#Qgpt_emotion#Q:#Q#Q#C#Qgpt_tone#Q:#Q#Q#C#Qanimate#Q:{#Qpre#Q:#Q#Q#C#Qpost#Q:#Q#Q#C#Qnext_state#Q:#Q#Q}#C#Qazure#Q:{#Qstyle#Q:#Q#Q#C#Qdegree#Q:0#C#Qpause#Q:0#C#Qpitch#Q:0#C#Qrate#Q:-8#C#Qvolume#Q:0}#C#Qemotion#Q:{#Qsadness#Q:-1#C#Qjoy#Q:-1#C#Qfear#Q:-1#C#Qdisgust#Q:-1#C#Qanger#Q:-1}#C#Qsgcom#Q:{#Qmood#Q:#Q#Q#C#Qscale#Q:-1}}</v>
      </c>
      <c r="Y71" s="40" t="s">
        <v>102</v>
      </c>
      <c r="Z71" s="36" t="str">
        <f t="shared" si="93"/>
        <v>say</v>
      </c>
      <c r="AA71" s="36"/>
      <c r="AB71" s="36" t="str" cm="1">
        <f t="array" ref="AB71">IF(C71="observe",channel_av_observe,"") &amp; IF(C71="register",channel_av_register,"")  &amp; IF(C71="listen",channel_av_listen,"")</f>
        <v/>
      </c>
      <c r="AC71" s="36" t="str">
        <f t="shared" si="99"/>
        <v/>
      </c>
      <c r="AD71" s="36" t="str">
        <f t="shared" si="100"/>
        <v/>
      </c>
      <c r="AE71" s="42" t="s">
        <v>103</v>
      </c>
      <c r="AF71" s="37" t="s">
        <v>211</v>
      </c>
      <c r="AG71" s="37"/>
      <c r="AH71" s="37" t="s">
        <v>209</v>
      </c>
      <c r="AI71" s="37"/>
      <c r="AJ71" s="114">
        <f>A71</f>
        <v>67</v>
      </c>
      <c r="AK71" s="56" t="str">
        <f t="shared" si="92"/>
        <v>067_avoid</v>
      </c>
      <c r="AL71" s="37"/>
      <c r="AM71" s="133"/>
      <c r="AN71" s="37"/>
      <c r="AO71" s="37"/>
      <c r="AP71" s="37"/>
      <c r="AQ71" s="37"/>
      <c r="AR71" s="37"/>
      <c r="AS71" s="37"/>
      <c r="AT71" s="37"/>
      <c r="AU71" s="37"/>
      <c r="AV71" s="37"/>
      <c r="AW71" s="37"/>
      <c r="AX71" s="37"/>
      <c r="AY71" s="37"/>
      <c r="AZ71" s="37"/>
      <c r="BA71" s="37"/>
      <c r="BB71" s="37"/>
      <c r="BC71" s="41"/>
      <c r="BD71" s="42"/>
      <c r="BE71" s="42"/>
      <c r="BF71" s="41"/>
      <c r="BG71" s="108"/>
      <c r="BH71" s="108"/>
      <c r="BI71" s="108" t="s">
        <v>77</v>
      </c>
      <c r="BJ71" s="110"/>
      <c r="BK71" s="41"/>
      <c r="BL71" s="42"/>
      <c r="BM71" s="35">
        <v>0</v>
      </c>
      <c r="BN71" s="35">
        <v>0</v>
      </c>
      <c r="BO71" s="35">
        <v>0</v>
      </c>
      <c r="BP71" s="35">
        <v>-8</v>
      </c>
      <c r="BQ71" s="35">
        <v>0</v>
      </c>
      <c r="BR71" s="41"/>
      <c r="BS71" s="35">
        <v>-1</v>
      </c>
      <c r="BT71" s="35">
        <v>-1</v>
      </c>
      <c r="BU71" s="35">
        <v>-1</v>
      </c>
      <c r="BV71" s="35">
        <v>-1</v>
      </c>
      <c r="BW71" s="35">
        <v>-1</v>
      </c>
      <c r="BX71" s="41"/>
      <c r="BY71" s="34"/>
      <c r="BZ71" s="43" t="s">
        <v>165</v>
      </c>
      <c r="CA71" s="43" t="s">
        <v>165</v>
      </c>
      <c r="CB71" s="158" t="str">
        <f t="shared" si="58"/>
        <v>{"azure":{"style":"","degree":0,"pause":0,"pitch":0,"rate":-8,"volume":0},"emotion":{"sadness":-1,"joy":-1,"fear":-1,"disgust":-1,"anger":-1},"sgcom":{"mood":"","scale":-1}}</v>
      </c>
      <c r="AOE71" s="28"/>
    </row>
    <row r="72" spans="1:80 1071:1071" s="27" customFormat="1">
      <c r="A72" s="32">
        <f t="shared" si="15"/>
        <v>68</v>
      </c>
      <c r="B72" s="32"/>
      <c r="C72" s="32" t="s">
        <v>122</v>
      </c>
      <c r="D72" s="32"/>
      <c r="E72" s="34" t="s">
        <v>123</v>
      </c>
      <c r="F72" s="34" t="str">
        <f t="shared" si="79"/>
        <v/>
      </c>
      <c r="G72" s="34" t="str">
        <f t="shared" si="94"/>
        <v>mute</v>
      </c>
      <c r="H72" s="116" t="str">
        <f t="shared" si="89"/>
        <v>{"av-command": "stt-control", "data": {"listening": false}}</v>
      </c>
      <c r="I72" s="36" t="str">
        <f t="shared" si="95"/>
        <v/>
      </c>
      <c r="J72" s="36" t="str">
        <f t="shared" si="90"/>
        <v/>
      </c>
      <c r="K72" s="116" t="str">
        <f t="shared" si="27"/>
        <v/>
      </c>
      <c r="L72" s="36"/>
      <c r="M72" s="136" t="str">
        <f t="shared" si="45"/>
        <v>unmute</v>
      </c>
      <c r="N72" s="116" t="str">
        <f t="shared" si="91"/>
        <v>{ "command": "unmute", "entity": "Eliza", "data" : {"prompt" : "%prompt" }}</v>
      </c>
      <c r="O72" s="129" t="str">
        <f t="shared" si="80"/>
        <v>{ "command": "unmute", "entity": "Eliza", "data" : {"prompt" : "Go Deeper" }}</v>
      </c>
      <c r="P72" s="81"/>
      <c r="Q72" s="37" t="str">
        <f t="shared" si="96"/>
        <v>{"id":"68","type":"meat","channel":"","state":"think"}</v>
      </c>
      <c r="R72" s="141"/>
      <c r="S72" s="148" t="str">
        <f t="shared" si="97"/>
        <v>mask_generated</v>
      </c>
      <c r="T72" s="137" t="str">
        <f t="shared" si="98"/>
        <v>{"words-out" : { "entity" : "Eliza"} }</v>
      </c>
      <c r="U72" s="45"/>
      <c r="V72" s="35" t="str">
        <f>IF(OR(P72="",Y72=""),"",osc_exe_npmosc&amp;" --host "&amp;osc_ip&amp;":"&amp;osc_port_control&amp;" "&amp;Z72&amp; "  " &amp; j_qot &amp;X72 &amp; j_qot)</f>
        <v/>
      </c>
      <c r="W72" s="36" t="str">
        <f t="shared" si="82"/>
        <v/>
      </c>
      <c r="X72" s="36" t="str">
        <f t="shared" si="83"/>
        <v/>
      </c>
      <c r="Y72" s="34"/>
      <c r="Z72" s="36" t="str">
        <f t="shared" si="93"/>
        <v/>
      </c>
      <c r="AA72" s="36"/>
      <c r="AB72" s="36" t="str" cm="1">
        <f t="array" ref="AB72">IF(C72="observe",channel_av_observe,"") &amp; IF(C72="register",channel_av_register,"")  &amp; IF(C72="listen",channel_av_listen,"")</f>
        <v/>
      </c>
      <c r="AC72" s="36" t="str">
        <f t="shared" si="99"/>
        <v/>
      </c>
      <c r="AD72" s="36" t="str">
        <f t="shared" si="100"/>
        <v>/generate</v>
      </c>
      <c r="AE72" s="42"/>
      <c r="AF72" s="49" t="s">
        <v>124</v>
      </c>
      <c r="AG72" s="49" t="s">
        <v>125</v>
      </c>
      <c r="AH72" s="49"/>
      <c r="AI72" s="49"/>
      <c r="AJ72" s="49"/>
      <c r="AK72" s="56" t="str">
        <f t="shared" si="92"/>
        <v/>
      </c>
      <c r="AL72" s="49"/>
      <c r="AM72" s="133"/>
      <c r="AN72" s="49"/>
      <c r="AO72" s="49"/>
      <c r="AP72" s="49"/>
      <c r="AQ72" s="49"/>
      <c r="AR72" s="49"/>
      <c r="AS72" s="49"/>
      <c r="AT72" s="49"/>
      <c r="AU72" s="49"/>
      <c r="AV72" s="49"/>
      <c r="AW72" s="49"/>
      <c r="AX72" s="49"/>
      <c r="AY72" s="49"/>
      <c r="AZ72" s="49"/>
      <c r="BA72" s="49"/>
      <c r="BB72" s="49"/>
      <c r="BC72" s="50"/>
      <c r="BD72" s="42"/>
      <c r="BE72" s="35"/>
      <c r="BF72" s="50"/>
      <c r="BG72" s="108"/>
      <c r="BH72" s="108"/>
      <c r="BI72" s="108"/>
      <c r="BJ72" s="110"/>
      <c r="BK72" s="50"/>
      <c r="BL72" s="49"/>
      <c r="BM72" s="35"/>
      <c r="BN72" s="35"/>
      <c r="BO72" s="35"/>
      <c r="BP72" s="35"/>
      <c r="BQ72" s="35"/>
      <c r="BR72" s="50"/>
      <c r="BS72" s="35"/>
      <c r="BT72" s="35"/>
      <c r="BU72" s="35"/>
      <c r="BV72" s="35"/>
      <c r="BW72" s="35"/>
      <c r="BX72" s="50"/>
      <c r="BY72" s="34"/>
      <c r="BZ72" s="43"/>
      <c r="CA72" s="43"/>
      <c r="CB72" s="158" t="str">
        <f t="shared" si="58"/>
        <v/>
      </c>
      <c r="AOE72" s="28"/>
    </row>
    <row r="73" spans="1:80 1071:1071" s="27" customFormat="1">
      <c r="A73" s="32">
        <f>A72+1</f>
        <v>69</v>
      </c>
      <c r="B73" s="32"/>
      <c r="C73" s="32" t="s">
        <v>212</v>
      </c>
      <c r="D73" s="32"/>
      <c r="E73" s="34" t="s">
        <v>213</v>
      </c>
      <c r="F73" s="34" t="str">
        <f t="shared" si="79"/>
        <v/>
      </c>
      <c r="G73" s="34" t="str">
        <f t="shared" si="94"/>
        <v/>
      </c>
      <c r="H73" s="116" t="str">
        <f t="shared" si="48"/>
        <v/>
      </c>
      <c r="I73" s="36" t="str">
        <f t="shared" ref="I73:I138" si="101">IF(C73="screen","fakeplay","") &amp; IF(C73="mood","mood","") &amp; IF(C73="fakemake","fakemake","")</f>
        <v/>
      </c>
      <c r="J73" s="36" t="str">
        <f t="shared" si="49"/>
        <v/>
      </c>
      <c r="K73" s="116" t="str">
        <f t="shared" ref="K73:K123" si="102">SUBSTITUTE(SUBSTITUTE(SUBSTITUTE(SUBSTITUTE(SUBSTITUTE(J73,"%id",A73),"%screens",D73),"%data",IF(P73="","{}",P73)),"%mood_num",B73),"%sound_name",AK73)</f>
        <v/>
      </c>
      <c r="L73" s="36"/>
      <c r="M73" s="136" t="str">
        <f t="shared" si="45"/>
        <v/>
      </c>
      <c r="N73" s="116" t="str">
        <f t="shared" si="50"/>
        <v/>
      </c>
      <c r="O73" s="129" t="str">
        <f t="shared" si="80"/>
        <v/>
      </c>
      <c r="P73" s="37" t="str">
        <f>j_opn&amp;"id"&amp;j_sep&amp;A73&amp;j_nxt&amp;"type"&amp;j_sep&amp;label_meat&amp;j_nxt&amp;"channel"&amp;j_sep&amp;Z73&amp;j_nxt&amp;label_deepfake_voice&amp;j_sep&amp;AI73&amp;j_nxt&amp;"cues"&amp;J_sep_num&amp;AM73&amp;j_cls</f>
        <v>{"id":"69","type":"meat","channel":"fake","voice":"Friendly Linus @ VT506 Clean","cues":[{"text":{"en":"It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Q73" s="37" t="str">
        <f>IF(AND(C73&lt;&gt;"speak_gpt",C73&lt;&gt;"makefakes"),P73,"") &amp; IF(C73="maketext",j_opn&amp;"id"&amp;j_sep&amp;A73 &amp; j_nxt &amp; "type" &amp; j_sep &amp; label_meat &amp; j_nxt&amp; "channel" &amp;j_sep  &amp; Z73&amp; j_nxt&amp; "state" &amp; j_sep &amp; "think" &amp; j_qot &amp; j_cls,"")</f>
        <v>{"id":"69","type":"meat","channel":"fake","voice":"Friendly Linus @ VT506 Clean","cues":[{"text":{"en":"It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R73" s="141">
        <v>0</v>
      </c>
      <c r="S73" s="148">
        <f t="shared" si="97"/>
        <v>0</v>
      </c>
      <c r="T73" s="137">
        <f t="shared" si="98"/>
        <v>0</v>
      </c>
      <c r="U73" s="45"/>
      <c r="V73" s="35" t="str">
        <f>IF(OR(P73="",Y73=""),"",osc_exe_npmosc&amp;" --host "&amp;osc_ip&amp;":"&amp;osc_port_control&amp;" "&amp;osc_channel_meat_stub&amp; "  " &amp; j_qot &amp;X73 &amp; j_qot)</f>
        <v>/opt/homebrew/bin/osc --host 10.10.10.10:5918 /meat  "{#Qid#Q:#Q69#Q#C#Qtype#Q:#Qmeat#Q#C#Qchannel#Q:#Qfake#Q#C#Qvoice#Q:#QFriendly#SLinus#S@#SVT506#SClean#Q#C#Qcues#Q:[{#Qtext#Q:{#Qen#Q:#QIt#Sdoesn#At#Sreally#Smatter.#Q#C#Qde#Q:#QEs#Sist#Sja#Segal.#Q}#C#Qfilename#Q:#Q107_doesnt_matter#Q#C#Qid#Q:107}#C{#Qtext#Q:{#Qen#Q:#QWhat#Smatters#Sis#Sthat#Swe’re#Shere#Swith#Syou#Snow.#SSo#Syou#Sdon’t#Shave#Sto#Sbe.#S#Q#C#Qde#Q:#QWas#Szählt#Sist#C#Sdass#Swir#Shier#Ssind#Smit#SDir.#SDamit#SDu#Sgehen#Skannst.#Q}#C#Qfilename#Q:#Q109_what_matters#Q#C#Qid#Q:109}#C{#Qtext#Q:{#Qen#Q:#QHow#Swonderful#Sis#Sthis?#Q#C#Qde#Q:#QWie#Stoll#Sist#Sdas#Sdenn?#Q}#C#Qfilename#Q:#Q111_how_wonderful#Q#C#Qid#Q:111}]}"</v>
      </c>
      <c r="W73" s="36" t="str">
        <f t="shared" si="82"/>
        <v>/opt/homebrew/bin/sendosc 10.10.10.10 5918 fake s {\"id\":\"69\",\"type\":\"meat\",\"channel\":\"fake\",\"voice\":\"Friendly\ Linus\ @\ VT506\ Clean\",\"cues\":[{\"text\":{\"en\":\"It\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X73" s="36" t="str">
        <f t="shared" si="83"/>
        <v>{#Qid#Q:#Q69#Q#C#Qtype#Q:#Qmeat#Q#C#Qchannel#Q:#Qfake#Q#C#Qvoice#Q:#QFriendly#SLinus#S@#SVT506#SClean#Q#C#Qcues#Q:[{#Qtext#Q:{#Qen#Q:#QIt#Sdoesn#At#Sreally#Smatter.#Q#C#Qde#Q:#QEs#Sist#Sja#Segal.#Q}#C#Qfilename#Q:#Q107_doesnt_matter#Q#C#Qid#Q:107}#C{#Qtext#Q:{#Qen#Q:#QWhat#Smatters#Sis#Sthat#Swe’re#Shere#Swith#Syou#Snow.#SSo#Syou#Sdon’t#Shave#Sto#Sbe.#S#Q#C#Qde#Q:#QWas#Szählt#Sist#C#Sdass#Swir#Shier#Ssind#Smit#SDir.#SDamit#SDu#Sgehen#Skannst.#Q}#C#Qfilename#Q:#Q109_what_matters#Q#C#Qid#Q:109}#C{#Qtext#Q:{#Qen#Q:#QHow#Swonderful#Sis#Sthis?#Q#C#Qde#Q:#QWie#Stoll#Sist#Sdas#Sdenn?#Q}#C#Qfilename#Q:#Q111_how_wonderful#Q#C#Qid#Q:111}]}</v>
      </c>
      <c r="Y73" s="34" t="s">
        <v>102</v>
      </c>
      <c r="Z73" s="36" t="str">
        <f t="shared" si="93"/>
        <v>fake</v>
      </c>
      <c r="AA73" s="36"/>
      <c r="AB73" s="36" t="str" cm="1">
        <f t="array" ref="AB73">IF(C73="observe",channel_av_observe,"") &amp; IF(C73="register",channel_av_register,"")  &amp; IF(C73="listen",channel_av_listen,"")</f>
        <v/>
      </c>
      <c r="AC73" s="36" t="str">
        <f t="shared" si="99"/>
        <v/>
      </c>
      <c r="AD73" s="36" t="str">
        <f t="shared" si="100"/>
        <v/>
      </c>
      <c r="AE73" s="42"/>
      <c r="AF73" s="56"/>
      <c r="AG73" s="56"/>
      <c r="AH73" s="56"/>
      <c r="AI73" s="56" t="str">
        <f>voice_name</f>
        <v>Friendly Linus @ VT506 Clean</v>
      </c>
      <c r="AJ73" s="57"/>
      <c r="AK73" s="56" t="str">
        <f t="shared" si="88"/>
        <v/>
      </c>
      <c r="AL73" s="56"/>
      <c r="AM73" s="133" t="str">
        <f>j_opn_brak&amp;P74&amp;j_com&amp;P76&amp;j_com&amp;P78&amp;j_cls_brak</f>
        <v>[{"text":{"en":"It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AN73" s="56"/>
      <c r="AO73" s="56"/>
      <c r="AP73" s="56"/>
      <c r="AQ73" s="56"/>
      <c r="AR73" s="56"/>
      <c r="AS73" s="56"/>
      <c r="AT73" s="56"/>
      <c r="AU73" s="56"/>
      <c r="AV73" s="56"/>
      <c r="AW73" s="56"/>
      <c r="AX73" s="56"/>
      <c r="AY73" s="56"/>
      <c r="AZ73" s="56"/>
      <c r="BA73" s="56"/>
      <c r="BB73" s="56"/>
      <c r="BC73" s="58"/>
      <c r="BD73" s="42"/>
      <c r="BE73" s="35"/>
      <c r="BF73" s="58"/>
      <c r="BG73" s="108"/>
      <c r="BH73" s="108"/>
      <c r="BI73" s="108"/>
      <c r="BJ73" s="110"/>
      <c r="BK73" s="58"/>
      <c r="BL73" s="56"/>
      <c r="BM73" s="35"/>
      <c r="BN73" s="35"/>
      <c r="BO73" s="35"/>
      <c r="BP73" s="35"/>
      <c r="BQ73" s="35"/>
      <c r="BR73" s="58"/>
      <c r="BS73" s="35"/>
      <c r="BT73" s="35"/>
      <c r="BU73" s="35"/>
      <c r="BV73" s="35"/>
      <c r="BW73" s="35"/>
      <c r="BX73" s="58"/>
      <c r="BY73" s="34"/>
      <c r="BZ73" s="43"/>
      <c r="CA73" s="43"/>
      <c r="CB73" s="158" t="str">
        <f t="shared" si="58"/>
        <v>{"azure":{"style":"","degree":,"pause":,"pitch":,"rate":,"volume":},"emotion":{"sadness":,"joy":,"fear":,"disgust":,"anger":},"sgcom":{"mood":"","scale":}}</v>
      </c>
      <c r="AOE73" s="28"/>
    </row>
    <row r="74" spans="1:80 1071:1071" s="27" customFormat="1">
      <c r="A74" s="32">
        <f t="shared" si="15"/>
        <v>70</v>
      </c>
      <c r="B74" s="32"/>
      <c r="C74" s="32" t="s">
        <v>214</v>
      </c>
      <c r="D74" s="32"/>
      <c r="E74" s="34" t="s">
        <v>215</v>
      </c>
      <c r="F74" s="34" t="str">
        <f t="shared" si="79"/>
        <v/>
      </c>
      <c r="G74" s="34" t="str">
        <f t="shared" si="94"/>
        <v/>
      </c>
      <c r="H74" s="116" t="str">
        <f t="shared" si="48"/>
        <v/>
      </c>
      <c r="I74" s="36" t="str">
        <f t="shared" si="101"/>
        <v/>
      </c>
      <c r="J74" s="36" t="str">
        <f t="shared" si="49"/>
        <v/>
      </c>
      <c r="K74" s="116" t="str">
        <f t="shared" si="102"/>
        <v/>
      </c>
      <c r="L74" s="36"/>
      <c r="M74" s="136" t="str">
        <f t="shared" si="45"/>
        <v/>
      </c>
      <c r="N74" s="116" t="str">
        <f t="shared" si="50"/>
        <v/>
      </c>
      <c r="O74" s="129" t="str">
        <f t="shared" si="80"/>
        <v/>
      </c>
      <c r="P74" s="37" t="str">
        <f xml:space="preserve"> j_opn&amp;label_text &amp; j_sub_opn &amp; label_deepfake_en &amp; j_sep &amp; AN74 &amp; j_nxt &amp; label_deepfake_de &amp;j_sep &amp; AO74 &amp;J_sub_cls &amp; label_deepfake_filename &amp;j_sep &amp; AK74 &amp; j_nxt &amp; label_deepfake_id  &amp; J_sep_num &amp; AJ74 &amp; IF(AP74="","", j_com &amp; AP74) &amp;  j_cls</f>
        <v>{"text":{"en":"It doesn't really matter.","de":"Es ist ja egal."},"filename":"107_doesnt_matter","id":107}</v>
      </c>
      <c r="Q74" s="37" t="str">
        <f t="shared" si="96"/>
        <v>{"text":{"en":"It doesn't really matter.","de":"Es ist ja egal."},"filename":"107_doesnt_matter","id":107}</v>
      </c>
      <c r="R74" s="141"/>
      <c r="S74" s="148" t="str">
        <f t="shared" si="97"/>
        <v/>
      </c>
      <c r="T74" s="137" t="str">
        <f t="shared" si="98"/>
        <v/>
      </c>
      <c r="U74" s="45"/>
      <c r="V74" s="35" t="str">
        <f>IF(OR(P74="",Y74=""),"",osc_exe_npmosc&amp;" --host "&amp;osc_ip&amp;":"&amp;osc_port_control&amp;" "&amp;Z74&amp; "  " &amp; j_qot &amp;X74 &amp; j_qot)</f>
        <v/>
      </c>
      <c r="W74" s="36" t="str">
        <f t="shared" si="82"/>
        <v/>
      </c>
      <c r="X74" s="36" t="str">
        <f t="shared" si="83"/>
        <v/>
      </c>
      <c r="Y74" s="40"/>
      <c r="Z74" s="36" t="str">
        <f t="shared" si="93"/>
        <v/>
      </c>
      <c r="AA74" s="36"/>
      <c r="AB74" s="36" t="str" cm="1">
        <f t="array" ref="AB74">IF(C74="observe",channel_av_observe,"") &amp; IF(C74="register",channel_av_register,"")  &amp; IF(C74="listen",channel_av_listen,"")</f>
        <v/>
      </c>
      <c r="AC74" s="36" t="str">
        <f t="shared" si="99"/>
        <v/>
      </c>
      <c r="AD74" s="36" t="str">
        <f t="shared" si="100"/>
        <v/>
      </c>
      <c r="AE74" s="42"/>
      <c r="AF74" s="56"/>
      <c r="AG74" s="56"/>
      <c r="AH74" s="56" t="s">
        <v>216</v>
      </c>
      <c r="AI74" s="56"/>
      <c r="AJ74" s="57">
        <f t="shared" ref="AJ74:AJ79" si="103">A111</f>
        <v>107</v>
      </c>
      <c r="AK74" s="56" t="str">
        <f t="shared" si="88"/>
        <v>107_doesnt_matter</v>
      </c>
      <c r="AL74" s="56"/>
      <c r="AM74" s="133"/>
      <c r="AN74" s="56" t="s">
        <v>217</v>
      </c>
      <c r="AO74" s="56" t="s">
        <v>218</v>
      </c>
      <c r="AP74" s="56"/>
      <c r="AQ74" s="56"/>
      <c r="AR74" s="56"/>
      <c r="AS74" s="56"/>
      <c r="AT74" s="56"/>
      <c r="AU74" s="56"/>
      <c r="AV74" s="56"/>
      <c r="AW74" s="56"/>
      <c r="AX74" s="56"/>
      <c r="AY74" s="56"/>
      <c r="AZ74" s="56"/>
      <c r="BA74" s="56"/>
      <c r="BB74" s="56"/>
      <c r="BC74" s="58"/>
      <c r="BD74" s="42"/>
      <c r="BE74" s="35"/>
      <c r="BF74" s="58"/>
      <c r="BG74" s="108"/>
      <c r="BH74" s="108"/>
      <c r="BI74" s="108" t="s">
        <v>77</v>
      </c>
      <c r="BJ74" s="110"/>
      <c r="BK74" s="58"/>
      <c r="BL74" s="42"/>
      <c r="BM74" s="35"/>
      <c r="BN74" s="35"/>
      <c r="BO74" s="35"/>
      <c r="BP74" s="35"/>
      <c r="BQ74" s="35"/>
      <c r="BR74" s="58"/>
      <c r="BS74" s="35"/>
      <c r="BT74" s="35"/>
      <c r="BU74" s="35"/>
      <c r="BV74" s="35"/>
      <c r="BW74" s="35"/>
      <c r="BX74" s="58"/>
      <c r="BY74" s="34"/>
      <c r="BZ74" s="43"/>
      <c r="CA74" s="43"/>
      <c r="CB74" s="158" t="str">
        <f t="shared" si="58"/>
        <v/>
      </c>
      <c r="AOE74" s="28"/>
    </row>
    <row r="75" spans="1:80 1071:1071" s="27" customFormat="1">
      <c r="A75" s="32">
        <f t="shared" si="15"/>
        <v>71</v>
      </c>
      <c r="B75" s="32"/>
      <c r="C75" s="32" t="s">
        <v>219</v>
      </c>
      <c r="D75" s="32"/>
      <c r="E75" s="34" t="s">
        <v>215</v>
      </c>
      <c r="F75" s="34" t="str">
        <f t="shared" si="79"/>
        <v/>
      </c>
      <c r="G75" s="34" t="str">
        <f t="shared" si="94"/>
        <v/>
      </c>
      <c r="H75" s="116" t="str">
        <f t="shared" si="48"/>
        <v/>
      </c>
      <c r="I75" s="36" t="str">
        <f t="shared" si="101"/>
        <v/>
      </c>
      <c r="J75" s="36" t="str">
        <f t="shared" si="49"/>
        <v/>
      </c>
      <c r="K75" s="116" t="str">
        <f t="shared" si="102"/>
        <v/>
      </c>
      <c r="L75" s="36"/>
      <c r="M75" s="136" t="str">
        <f t="shared" si="45"/>
        <v/>
      </c>
      <c r="N75" s="116" t="str">
        <f t="shared" si="50"/>
        <v/>
      </c>
      <c r="O75" s="129" t="str">
        <f t="shared" si="80"/>
        <v/>
      </c>
      <c r="P75" s="37" t="str">
        <f>IF(Y75&lt;&gt;"x","",j_opn&amp;"id"&amp;j_sep&amp;A75 &amp; j_nxt&amp;label_deepfake_name &amp; j_sep &amp; AH75 &amp; j_nxt&amp; "type" &amp; j_sep &amp; label_meat &amp; j_nxt&amp; "channel" &amp;j_sep&amp;Z75&amp;j_nxt&amp;label_role&amp;j_sep&amp;AE75&amp;j_nxt&amp;label_text&amp;j_sep&amp;AF75&amp;j_nxt&amp;label_gpt_emo&amp;j_sep&amp;BD75&amp;j_nxt&amp;label_gpt_tone&amp;j_sep&amp;BE75&amp;j_nxt&amp;label_animate&amp;j_sub_opn&amp;label_pre&amp;j_sep&amp;IF(do_anim=FALSE,"",BG75)&amp;j_nxt&amp;label_post&amp;j_sep&amp;IF(do_anim="","",BH75)&amp;j_nxt&amp;label_next_state&amp;j_sep&amp;BI75&amp;J_sub_cls&amp;label_azure&amp;j_sub_opn&amp;label_style&amp;j_sep&amp;BL75&amp;j_nxt&amp;label_degree&amp;J_sep_num&amp;BM75&amp;j_nxt_num&amp;label_pause&amp;J_sep_num&amp;BN75&amp;j_nxt_num&amp;label_pitch&amp;J_sep_num&amp;BO75&amp;j_nxt_num&amp;label_rate&amp;J_sep_num&amp;BP75&amp;j_nxt_num&amp;label_volume&amp;J_sep_num&amp;BQ75&amp;j_sub_cls_num&amp;label_emotion&amp;j_sub_opn&amp;label_sad&amp;J_sep_num&amp;BS75&amp;j_nxt_num&amp;label_joy&amp;J_sep_num&amp;BT75&amp;j_nxt_num&amp;label_fear&amp;J_sep_num&amp;BU75&amp;j_nxt_num&amp;label_disgust&amp;J_sep_num&amp;BV75&amp;j_nxt_num&amp;label_anger&amp;J_sep_num&amp;BW75&amp;j_sub_cls_num&amp;label_sg&amp;j_sub_opn&amp;label_mood&amp;j_sep&amp;BY75&amp;j_nxt&amp;label_scale&amp;J_sep_num&amp;BZ75&amp;j_end_num)</f>
        <v/>
      </c>
      <c r="Q75" s="37" t="str">
        <f t="shared" si="96"/>
        <v/>
      </c>
      <c r="R75" s="141"/>
      <c r="S75" s="148" t="str">
        <f t="shared" si="97"/>
        <v/>
      </c>
      <c r="T75" s="137" t="str">
        <f t="shared" si="98"/>
        <v/>
      </c>
      <c r="U75" s="45"/>
      <c r="V75" s="35" t="str">
        <f>IF(OR(P75="",Y75=""),"",osc_exe_npmosc&amp;" --host "&amp;osc_ip&amp;":"&amp;osc_port_control&amp;" "&amp; osc_channel_meat_stub &amp; "  " &amp; j_qot &amp;X75 &amp; j_qot)</f>
        <v/>
      </c>
      <c r="W75" s="36" t="str">
        <f t="shared" si="82"/>
        <v/>
      </c>
      <c r="X75" s="36" t="str">
        <f t="shared" si="83"/>
        <v/>
      </c>
      <c r="Y75" s="40"/>
      <c r="Z75" s="36" t="str">
        <f t="shared" si="93"/>
        <v/>
      </c>
      <c r="AA75" s="36"/>
      <c r="AB75" s="36" t="str" cm="1">
        <f t="array" ref="AB75">IF(C75="observe",channel_av_observe,"") &amp; IF(C75="register",channel_av_register,"")  &amp; IF(C75="listen",channel_av_listen,"")</f>
        <v/>
      </c>
      <c r="AC75" s="36" t="str">
        <f t="shared" si="99"/>
        <v/>
      </c>
      <c r="AD75" s="36" t="str">
        <f t="shared" si="100"/>
        <v/>
      </c>
      <c r="AE75" s="42"/>
      <c r="AF75" s="56" t="str">
        <f>IF(language="en",AN75,AO75)</f>
        <v>You never really mattered</v>
      </c>
      <c r="AG75" s="56"/>
      <c r="AH75" s="56" t="s">
        <v>220</v>
      </c>
      <c r="AI75" s="56"/>
      <c r="AJ75" s="57">
        <f t="shared" si="103"/>
        <v>108</v>
      </c>
      <c r="AK75" s="56" t="str">
        <f t="shared" si="88"/>
        <v>108_never_mattered</v>
      </c>
      <c r="AL75" s="56" t="str">
        <f>IF(AK75="","", AK75 &amp; ".wav")</f>
        <v>108_never_mattered.wav</v>
      </c>
      <c r="AM75" s="133"/>
      <c r="AN75" s="56" t="s">
        <v>221</v>
      </c>
      <c r="AO75" s="56" t="s">
        <v>222</v>
      </c>
      <c r="AP75" s="56"/>
      <c r="AQ75" s="56"/>
      <c r="AR75" s="56"/>
      <c r="AS75" s="56"/>
      <c r="AT75" s="56"/>
      <c r="AU75" s="56"/>
      <c r="AV75" s="56"/>
      <c r="AW75" s="56"/>
      <c r="AX75" s="56"/>
      <c r="AY75" s="56"/>
      <c r="AZ75" s="56"/>
      <c r="BA75" s="56"/>
      <c r="BB75" s="56"/>
      <c r="BC75" s="58"/>
      <c r="BD75" s="42"/>
      <c r="BE75" s="35"/>
      <c r="BF75" s="58"/>
      <c r="BG75" s="108"/>
      <c r="BH75" s="108"/>
      <c r="BI75" s="108" t="s">
        <v>77</v>
      </c>
      <c r="BJ75" s="110"/>
      <c r="BK75" s="58"/>
      <c r="BL75" s="42" t="s">
        <v>154</v>
      </c>
      <c r="BM75" s="35" t="s">
        <v>107</v>
      </c>
      <c r="BN75" s="35">
        <v>0</v>
      </c>
      <c r="BO75" s="35">
        <v>0</v>
      </c>
      <c r="BP75" s="35">
        <v>0</v>
      </c>
      <c r="BQ75" s="35">
        <v>0</v>
      </c>
      <c r="BR75" s="58"/>
      <c r="BS75" s="35">
        <v>-1</v>
      </c>
      <c r="BT75" s="35">
        <v>-1</v>
      </c>
      <c r="BU75" s="35">
        <v>-1</v>
      </c>
      <c r="BV75" s="35">
        <v>-1</v>
      </c>
      <c r="BW75" s="35">
        <v>-1</v>
      </c>
      <c r="BX75" s="58"/>
      <c r="BY75" s="34"/>
      <c r="BZ75" s="43" t="s">
        <v>165</v>
      </c>
      <c r="CA75" s="43" t="s">
        <v>165</v>
      </c>
      <c r="CB75" s="158" t="str">
        <f t="shared" si="58"/>
        <v/>
      </c>
      <c r="AOE75" s="28"/>
    </row>
    <row r="76" spans="1:80 1071:1071" s="27" customFormat="1" ht="16" customHeight="1">
      <c r="A76" s="32">
        <f t="shared" si="15"/>
        <v>72</v>
      </c>
      <c r="B76" s="32"/>
      <c r="C76" s="32" t="s">
        <v>214</v>
      </c>
      <c r="D76" s="32"/>
      <c r="E76" s="34" t="s">
        <v>215</v>
      </c>
      <c r="F76" s="34" t="str">
        <f t="shared" si="79"/>
        <v/>
      </c>
      <c r="G76" s="34" t="str">
        <f t="shared" si="94"/>
        <v/>
      </c>
      <c r="H76" s="116" t="str">
        <f t="shared" si="48"/>
        <v/>
      </c>
      <c r="I76" s="36" t="str">
        <f t="shared" si="101"/>
        <v/>
      </c>
      <c r="J76" s="36" t="str">
        <f t="shared" si="49"/>
        <v/>
      </c>
      <c r="K76" s="116" t="str">
        <f t="shared" si="102"/>
        <v/>
      </c>
      <c r="L76" s="36"/>
      <c r="M76" s="136" t="str">
        <f t="shared" si="45"/>
        <v/>
      </c>
      <c r="N76" s="116" t="str">
        <f t="shared" si="50"/>
        <v/>
      </c>
      <c r="O76" s="129" t="str">
        <f t="shared" si="80"/>
        <v/>
      </c>
      <c r="P76" s="37" t="str">
        <f xml:space="preserve"> j_opn&amp;label_text &amp; j_sub_opn &amp; label_deepfake_en &amp; j_sep &amp; AN76 &amp; j_nxt &amp; label_deepfake_de &amp;j_sep &amp; AO76 &amp;J_sub_cls &amp; label_deepfake_filename &amp;j_sep &amp; AK76 &amp; j_nxt &amp; label_deepfake_id  &amp; J_sep_num &amp; AJ76 &amp; IF(AP76="","", j_com &amp; AP76) &amp;  j_cls</f>
        <v>{"text":{"en":"What matters is that we’re here with you now. So you don’t have to be. ","de":"Was zählt ist, dass wir hier sind mit Dir. Damit Du gehen kannst."},"filename":"109_what_matters","id":109}</v>
      </c>
      <c r="Q76" s="37" t="str">
        <f t="shared" si="96"/>
        <v>{"text":{"en":"What matters is that we’re here with you now. So you don’t have to be. ","de":"Was zählt ist, dass wir hier sind mit Dir. Damit Du gehen kannst."},"filename":"109_what_matters","id":109}</v>
      </c>
      <c r="R76" s="141"/>
      <c r="S76" s="148" t="str">
        <f t="shared" si="97"/>
        <v/>
      </c>
      <c r="T76" s="137" t="str">
        <f t="shared" si="98"/>
        <v/>
      </c>
      <c r="U76" s="45"/>
      <c r="V76" s="35" t="str">
        <f>IF(OR(P76="",Y76=""),"",osc_exe_npmosc&amp;" --host "&amp;osc_ip&amp;":"&amp;osc_port_control&amp;" "&amp;Z76&amp; "  " &amp; j_qot &amp;X76 &amp; j_qot)</f>
        <v/>
      </c>
      <c r="W76" s="36" t="str">
        <f t="shared" si="82"/>
        <v/>
      </c>
      <c r="X76" s="36" t="str">
        <f t="shared" si="83"/>
        <v/>
      </c>
      <c r="Y76" s="34"/>
      <c r="Z76" s="36" t="str">
        <f t="shared" si="93"/>
        <v/>
      </c>
      <c r="AA76" s="36"/>
      <c r="AB76" s="36" t="str" cm="1">
        <f t="array" ref="AB76">IF(C76="observe",channel_av_observe,"") &amp; IF(C76="register",channel_av_register,"")  &amp; IF(C76="listen",channel_av_listen,"")</f>
        <v/>
      </c>
      <c r="AC76" s="36" t="str">
        <f t="shared" si="99"/>
        <v/>
      </c>
      <c r="AD76" s="36" t="str">
        <f t="shared" si="100"/>
        <v/>
      </c>
      <c r="AE76" s="42"/>
      <c r="AF76" s="59"/>
      <c r="AG76" s="59"/>
      <c r="AH76" s="56" t="s">
        <v>223</v>
      </c>
      <c r="AI76" s="56"/>
      <c r="AJ76" s="57">
        <f t="shared" si="103"/>
        <v>109</v>
      </c>
      <c r="AK76" s="56" t="str">
        <f t="shared" si="88"/>
        <v>109_what_matters</v>
      </c>
      <c r="AL76" s="59"/>
      <c r="AM76" s="133"/>
      <c r="AN76" s="60" t="s">
        <v>224</v>
      </c>
      <c r="AO76" s="60" t="s">
        <v>225</v>
      </c>
      <c r="AP76" s="59"/>
      <c r="AQ76" s="59"/>
      <c r="AR76" s="59"/>
      <c r="AS76" s="59"/>
      <c r="AT76" s="59"/>
      <c r="AU76" s="59"/>
      <c r="AV76" s="59"/>
      <c r="AW76" s="59"/>
      <c r="AX76" s="59"/>
      <c r="AY76" s="59"/>
      <c r="AZ76" s="59"/>
      <c r="BA76" s="59"/>
      <c r="BB76" s="59"/>
      <c r="BC76" s="61"/>
      <c r="BD76" s="42"/>
      <c r="BE76" s="35"/>
      <c r="BF76" s="61"/>
      <c r="BG76" s="108"/>
      <c r="BH76" s="108"/>
      <c r="BI76" s="108" t="s">
        <v>77</v>
      </c>
      <c r="BJ76" s="110"/>
      <c r="BK76" s="61"/>
      <c r="BL76" s="59"/>
      <c r="BM76" s="35"/>
      <c r="BN76" s="35"/>
      <c r="BO76" s="35"/>
      <c r="BP76" s="35"/>
      <c r="BQ76" s="35"/>
      <c r="BR76" s="61"/>
      <c r="BS76" s="35"/>
      <c r="BT76" s="35"/>
      <c r="BU76" s="35"/>
      <c r="BV76" s="35"/>
      <c r="BW76" s="35"/>
      <c r="BX76" s="61"/>
      <c r="BY76" s="34"/>
      <c r="BZ76" s="43"/>
      <c r="CA76" s="43"/>
      <c r="CB76" s="158" t="str">
        <f t="shared" si="58"/>
        <v/>
      </c>
      <c r="AOE76" s="28"/>
    </row>
    <row r="77" spans="1:80 1071:1071" s="27" customFormat="1" ht="16" customHeight="1">
      <c r="A77" s="32">
        <f t="shared" si="15"/>
        <v>73</v>
      </c>
      <c r="B77" s="32"/>
      <c r="C77" s="32" t="s">
        <v>219</v>
      </c>
      <c r="D77" s="32"/>
      <c r="E77" s="34" t="s">
        <v>215</v>
      </c>
      <c r="F77" s="34" t="str">
        <f t="shared" si="79"/>
        <v/>
      </c>
      <c r="G77" s="34" t="str">
        <f t="shared" si="94"/>
        <v/>
      </c>
      <c r="H77" s="116" t="str">
        <f t="shared" si="48"/>
        <v/>
      </c>
      <c r="I77" s="36" t="str">
        <f t="shared" si="101"/>
        <v/>
      </c>
      <c r="J77" s="36" t="str">
        <f t="shared" si="49"/>
        <v/>
      </c>
      <c r="K77" s="116" t="str">
        <f t="shared" si="102"/>
        <v/>
      </c>
      <c r="L77" s="36"/>
      <c r="M77" s="136" t="str">
        <f t="shared" si="45"/>
        <v/>
      </c>
      <c r="N77" s="116" t="str">
        <f t="shared" si="50"/>
        <v/>
      </c>
      <c r="O77" s="129" t="str">
        <f t="shared" si="80"/>
        <v/>
      </c>
      <c r="P77" s="37" t="str">
        <f>IF(Y77&lt;&gt;"x","",j_opn&amp;"id"&amp;j_sep&amp;A77 &amp; j_nxt&amp;label_deepfake_name &amp; j_sep &amp; AH77 &amp; j_nxt&amp; "type" &amp; j_sep &amp; label_meat &amp; j_nxt&amp; "channel" &amp;j_sep&amp;Z77&amp;j_nxt&amp;label_role&amp;j_sep&amp;AE77&amp;j_nxt&amp;label_text&amp;j_sep&amp;AF77&amp;j_nxt&amp;label_gpt_emo&amp;j_sep&amp;BD77&amp;j_nxt&amp;label_gpt_tone&amp;j_sep&amp;BE77&amp;j_nxt&amp;label_animate&amp;j_sub_opn&amp;label_pre&amp;j_sep&amp;IF(do_anim=FALSE,"",BG77)&amp;j_nxt&amp;label_post&amp;j_sep&amp;IF(do_anim="","",BH77)&amp;j_nxt&amp;label_next_state&amp;j_sep&amp;BI77&amp;J_sub_cls&amp;label_azure&amp;j_sub_opn&amp;label_style&amp;j_sep&amp;BL77&amp;j_nxt&amp;label_degree&amp;J_sep_num&amp;BM77&amp;j_nxt_num&amp;label_pause&amp;J_sep_num&amp;BN77&amp;j_nxt_num&amp;label_pitch&amp;J_sep_num&amp;BO77&amp;j_nxt_num&amp;label_rate&amp;J_sep_num&amp;BP77&amp;j_nxt_num&amp;label_volume&amp;J_sep_num&amp;BQ77&amp;j_sub_cls_num&amp;label_emotion&amp;j_sub_opn&amp;label_sad&amp;J_sep_num&amp;BS77&amp;j_nxt_num&amp;label_joy&amp;J_sep_num&amp;BT77&amp;j_nxt_num&amp;label_fear&amp;J_sep_num&amp;BU77&amp;j_nxt_num&amp;label_disgust&amp;J_sep_num&amp;BV77&amp;j_nxt_num&amp;label_anger&amp;J_sep_num&amp;BW77&amp;j_sub_cls_num&amp;label_sg&amp;j_sub_opn&amp;label_mood&amp;j_sep&amp;BY77&amp;j_nxt&amp;label_scale&amp;J_sep_num&amp;BZ77&amp;j_end_num)</f>
        <v/>
      </c>
      <c r="Q77" s="37" t="str">
        <f t="shared" si="96"/>
        <v/>
      </c>
      <c r="R77" s="141"/>
      <c r="S77" s="148" t="str">
        <f t="shared" si="97"/>
        <v/>
      </c>
      <c r="T77" s="137" t="str">
        <f t="shared" si="98"/>
        <v/>
      </c>
      <c r="U77" s="45"/>
      <c r="V77" s="35" t="str">
        <f>IF(OR(P77="",Y77=""),"",osc_exe_npmosc&amp;" --host "&amp;osc_ip&amp;":"&amp;osc_port_control&amp;" "&amp; osc_channel_meat_stub &amp; "  " &amp; j_qot &amp;X77 &amp; j_qot)</f>
        <v/>
      </c>
      <c r="W77" s="36" t="str">
        <f t="shared" si="82"/>
        <v/>
      </c>
      <c r="X77" s="36" t="str">
        <f t="shared" si="83"/>
        <v/>
      </c>
      <c r="Y77" s="40"/>
      <c r="Z77" s="36" t="str">
        <f t="shared" si="93"/>
        <v/>
      </c>
      <c r="AA77" s="36"/>
      <c r="AB77" s="36" t="str" cm="1">
        <f t="array" ref="AB77">IF(C77="observe",channel_av_observe,"") &amp; IF(C77="register",channel_av_register,"")  &amp; IF(C77="listen",channel_av_listen,"")</f>
        <v/>
      </c>
      <c r="AC77" s="36" t="str">
        <f t="shared" si="99"/>
        <v/>
      </c>
      <c r="AD77" s="36" t="str">
        <f t="shared" si="100"/>
        <v/>
      </c>
      <c r="AE77" s="42"/>
      <c r="AF77" s="56" t="str">
        <f>IF(language="en",AN77,AO77)</f>
        <v xml:space="preserve">What matters is that we’re here with you now. So you don’t have to be. </v>
      </c>
      <c r="AG77" s="56"/>
      <c r="AH77" s="56" t="s">
        <v>223</v>
      </c>
      <c r="AI77" s="56"/>
      <c r="AJ77" s="57">
        <f t="shared" si="103"/>
        <v>110</v>
      </c>
      <c r="AK77" s="56" t="str">
        <f t="shared" si="88"/>
        <v>110_what_matters</v>
      </c>
      <c r="AL77" s="56" t="str">
        <f>IF(AK77="","", AK77 &amp; ".wav")</f>
        <v>110_what_matters.wav</v>
      </c>
      <c r="AM77" s="133"/>
      <c r="AN77" s="60" t="str">
        <f>AN76</f>
        <v xml:space="preserve">What matters is that we’re here with you now. So you don’t have to be. </v>
      </c>
      <c r="AO77" s="60" t="str">
        <f>AO76</f>
        <v>Was zählt ist, dass wir hier sind mit Dir. Damit Du gehen kannst.</v>
      </c>
      <c r="AP77" s="59"/>
      <c r="AQ77" s="59"/>
      <c r="AR77" s="59"/>
      <c r="AS77" s="59"/>
      <c r="AT77" s="59"/>
      <c r="AU77" s="59"/>
      <c r="AV77" s="59"/>
      <c r="AW77" s="59"/>
      <c r="AX77" s="59"/>
      <c r="AY77" s="59"/>
      <c r="AZ77" s="59"/>
      <c r="BA77" s="59"/>
      <c r="BB77" s="59"/>
      <c r="BC77" s="61"/>
      <c r="BD77" s="42"/>
      <c r="BE77" s="35"/>
      <c r="BF77" s="61"/>
      <c r="BG77" s="108"/>
      <c r="BH77" s="108"/>
      <c r="BI77" s="108" t="s">
        <v>77</v>
      </c>
      <c r="BJ77" s="110"/>
      <c r="BK77" s="61"/>
      <c r="BL77" s="42" t="s">
        <v>154</v>
      </c>
      <c r="BM77" s="35" t="s">
        <v>107</v>
      </c>
      <c r="BN77" s="35">
        <v>100</v>
      </c>
      <c r="BO77" s="35">
        <v>0</v>
      </c>
      <c r="BP77" s="35">
        <v>0</v>
      </c>
      <c r="BQ77" s="35">
        <v>0</v>
      </c>
      <c r="BR77" s="61"/>
      <c r="BS77" s="35">
        <v>-1</v>
      </c>
      <c r="BT77" s="35">
        <v>-1</v>
      </c>
      <c r="BU77" s="35">
        <v>-1</v>
      </c>
      <c r="BV77" s="35">
        <v>-1</v>
      </c>
      <c r="BW77" s="35">
        <v>-1</v>
      </c>
      <c r="BX77" s="61"/>
      <c r="BY77" s="34"/>
      <c r="BZ77" s="43" t="s">
        <v>165</v>
      </c>
      <c r="CA77" s="43" t="s">
        <v>165</v>
      </c>
      <c r="CB77" s="158" t="str">
        <f t="shared" si="58"/>
        <v/>
      </c>
      <c r="AOE77" s="28"/>
    </row>
    <row r="78" spans="1:80 1071:1071" s="27" customFormat="1" ht="16" customHeight="1">
      <c r="A78" s="32">
        <f t="shared" si="15"/>
        <v>74</v>
      </c>
      <c r="B78" s="32"/>
      <c r="C78" s="32" t="s">
        <v>214</v>
      </c>
      <c r="D78" s="32"/>
      <c r="E78" s="34" t="s">
        <v>215</v>
      </c>
      <c r="F78" s="34" t="str">
        <f t="shared" si="79"/>
        <v/>
      </c>
      <c r="G78" s="34" t="str">
        <f t="shared" si="94"/>
        <v/>
      </c>
      <c r="H78" s="116" t="str">
        <f t="shared" si="48"/>
        <v/>
      </c>
      <c r="I78" s="36" t="str">
        <f t="shared" si="101"/>
        <v/>
      </c>
      <c r="J78" s="36" t="str">
        <f t="shared" si="49"/>
        <v/>
      </c>
      <c r="K78" s="116" t="str">
        <f t="shared" si="102"/>
        <v/>
      </c>
      <c r="L78" s="36"/>
      <c r="M78" s="136" t="str">
        <f t="shared" si="45"/>
        <v/>
      </c>
      <c r="N78" s="116" t="str">
        <f t="shared" si="50"/>
        <v/>
      </c>
      <c r="O78" s="129" t="str">
        <f t="shared" si="80"/>
        <v/>
      </c>
      <c r="P78" s="37" t="str">
        <f xml:space="preserve"> j_opn&amp;label_text &amp; j_sub_opn &amp; label_deepfake_en &amp; j_sep &amp; AN78 &amp; j_nxt &amp; label_deepfake_de &amp;j_sep &amp; AO78 &amp;J_sub_cls &amp; label_deepfake_filename &amp;j_sep &amp; AK78 &amp; j_nxt &amp; label_deepfake_id  &amp; J_sep_num &amp; AJ78 &amp; IF(AP78="","", j_com &amp; AP78) &amp;  j_cls</f>
        <v>{"text":{"en":"How wonderful is this?","de":"Wie toll ist das denn?"},"filename":"111_how_wonderful","id":111}</v>
      </c>
      <c r="Q78" s="37" t="str">
        <f t="shared" si="96"/>
        <v>{"text":{"en":"How wonderful is this?","de":"Wie toll ist das denn?"},"filename":"111_how_wonderful","id":111}</v>
      </c>
      <c r="R78" s="141"/>
      <c r="S78" s="148" t="str">
        <f t="shared" si="97"/>
        <v/>
      </c>
      <c r="T78" s="137" t="str">
        <f t="shared" si="98"/>
        <v/>
      </c>
      <c r="U78" s="45"/>
      <c r="V78" s="35" t="str">
        <f>IF(OR(P78="",Y78=""),"",osc_exe_npmosc&amp;" --host "&amp;osc_ip&amp;":"&amp;osc_port_control&amp;" "&amp;Z78&amp; "  " &amp; j_qot &amp;X78 &amp; j_qot)</f>
        <v/>
      </c>
      <c r="W78" s="36" t="str">
        <f t="shared" si="82"/>
        <v/>
      </c>
      <c r="X78" s="36" t="str">
        <f t="shared" si="83"/>
        <v/>
      </c>
      <c r="Y78" s="34"/>
      <c r="Z78" s="36" t="str">
        <f t="shared" si="93"/>
        <v/>
      </c>
      <c r="AA78" s="36"/>
      <c r="AB78" s="36" t="str" cm="1">
        <f t="array" ref="AB78">IF(C78="observe",channel_av_observe,"") &amp; IF(C78="register",channel_av_register,"")  &amp; IF(C78="listen",channel_av_listen,"")</f>
        <v/>
      </c>
      <c r="AC78" s="36" t="str">
        <f t="shared" si="99"/>
        <v/>
      </c>
      <c r="AD78" s="36" t="str">
        <f t="shared" si="100"/>
        <v/>
      </c>
      <c r="AE78" s="42"/>
      <c r="AF78" s="59"/>
      <c r="AG78" s="59"/>
      <c r="AH78" s="56" t="s">
        <v>226</v>
      </c>
      <c r="AI78" s="56"/>
      <c r="AJ78" s="57">
        <f t="shared" si="103"/>
        <v>111</v>
      </c>
      <c r="AK78" s="56" t="str">
        <f t="shared" si="88"/>
        <v>111_how_wonderful</v>
      </c>
      <c r="AL78" s="59"/>
      <c r="AM78" s="133"/>
      <c r="AN78" s="59" t="s">
        <v>227</v>
      </c>
      <c r="AO78" s="59" t="s">
        <v>228</v>
      </c>
      <c r="AP78" s="59"/>
      <c r="AQ78" s="59"/>
      <c r="AR78" s="59"/>
      <c r="AS78" s="59"/>
      <c r="AT78" s="59"/>
      <c r="AU78" s="59"/>
      <c r="AV78" s="59"/>
      <c r="AW78" s="59"/>
      <c r="AX78" s="59"/>
      <c r="AY78" s="59"/>
      <c r="AZ78" s="59"/>
      <c r="BA78" s="59"/>
      <c r="BB78" s="59"/>
      <c r="BC78" s="61"/>
      <c r="BD78" s="42"/>
      <c r="BE78" s="35"/>
      <c r="BF78" s="61"/>
      <c r="BG78" s="108"/>
      <c r="BH78" s="108"/>
      <c r="BI78" s="108" t="s">
        <v>77</v>
      </c>
      <c r="BJ78" s="110"/>
      <c r="BK78" s="61"/>
      <c r="BL78" s="59"/>
      <c r="BM78" s="35"/>
      <c r="BN78" s="35"/>
      <c r="BO78" s="35"/>
      <c r="BP78" s="35"/>
      <c r="BQ78" s="35"/>
      <c r="BR78" s="61"/>
      <c r="BS78" s="35"/>
      <c r="BT78" s="35"/>
      <c r="BU78" s="35"/>
      <c r="BV78" s="35"/>
      <c r="BW78" s="35"/>
      <c r="BX78" s="61"/>
      <c r="BY78" s="34"/>
      <c r="BZ78" s="43"/>
      <c r="CA78" s="43"/>
      <c r="CB78" s="158" t="str">
        <f t="shared" si="58"/>
        <v/>
      </c>
      <c r="AOE78" s="28"/>
    </row>
    <row r="79" spans="1:80 1071:1071" s="27" customFormat="1" ht="16" customHeight="1">
      <c r="A79" s="32">
        <f t="shared" si="15"/>
        <v>75</v>
      </c>
      <c r="B79" s="32"/>
      <c r="C79" s="32" t="s">
        <v>219</v>
      </c>
      <c r="D79" s="32"/>
      <c r="E79" s="34" t="s">
        <v>215</v>
      </c>
      <c r="F79" s="34" t="str">
        <f t="shared" si="79"/>
        <v/>
      </c>
      <c r="G79" s="34" t="str">
        <f t="shared" si="94"/>
        <v/>
      </c>
      <c r="H79" s="116" t="str">
        <f t="shared" si="48"/>
        <v/>
      </c>
      <c r="I79" s="36" t="str">
        <f t="shared" si="101"/>
        <v/>
      </c>
      <c r="J79" s="36" t="str">
        <f t="shared" si="49"/>
        <v/>
      </c>
      <c r="K79" s="116" t="str">
        <f t="shared" si="102"/>
        <v/>
      </c>
      <c r="L79" s="36"/>
      <c r="M79" s="136" t="str">
        <f t="shared" si="45"/>
        <v/>
      </c>
      <c r="N79" s="116" t="str">
        <f t="shared" si="50"/>
        <v/>
      </c>
      <c r="O79" s="129" t="str">
        <f t="shared" si="80"/>
        <v/>
      </c>
      <c r="P79" s="37" t="str">
        <f>IF(Y79&lt;&gt;"x","",j_opn&amp;"id"&amp;j_sep&amp;A79 &amp; j_nxt&amp;label_deepfake_name &amp; j_sep &amp; AH79 &amp; j_nxt&amp; "type" &amp; j_sep &amp; label_meat &amp; j_nxt&amp; "channel" &amp;j_sep&amp;Z79&amp;j_nxt&amp;label_role&amp;j_sep&amp;AE79&amp;j_nxt&amp;label_text&amp;j_sep&amp;AF79&amp;j_nxt&amp;label_gpt_emo&amp;j_sep&amp;BD79&amp;j_nxt&amp;label_gpt_tone&amp;j_sep&amp;BE79&amp;j_nxt&amp;label_animate&amp;j_sub_opn&amp;label_pre&amp;j_sep&amp;IF(do_anim=FALSE,"",BG79)&amp;j_nxt&amp;label_post&amp;j_sep&amp;IF(do_anim="","",BH79)&amp;j_nxt&amp;label_next_state&amp;j_sep&amp;BI79&amp;J_sub_cls&amp;label_azure&amp;j_sub_opn&amp;label_style&amp;j_sep&amp;BL79&amp;j_nxt&amp;label_degree&amp;J_sep_num&amp;BM79&amp;j_nxt_num&amp;label_pause&amp;J_sep_num&amp;BN79&amp;j_nxt_num&amp;label_pitch&amp;J_sep_num&amp;BO79&amp;j_nxt_num&amp;label_rate&amp;J_sep_num&amp;BP79&amp;j_nxt_num&amp;label_volume&amp;J_sep_num&amp;BQ79&amp;j_sub_cls_num&amp;label_emotion&amp;j_sub_opn&amp;label_sad&amp;J_sep_num&amp;BS79&amp;j_nxt_num&amp;label_joy&amp;J_sep_num&amp;BT79&amp;j_nxt_num&amp;label_fear&amp;J_sep_num&amp;BU79&amp;j_nxt_num&amp;label_disgust&amp;J_sep_num&amp;BV79&amp;j_nxt_num&amp;label_anger&amp;J_sep_num&amp;BW79&amp;j_sub_cls_num&amp;label_sg&amp;j_sub_opn&amp;label_mood&amp;j_sep&amp;BY79&amp;j_nxt&amp;label_scale&amp;J_sep_num&amp;BZ79&amp;j_end_num)</f>
        <v/>
      </c>
      <c r="Q79" s="37" t="str">
        <f t="shared" si="96"/>
        <v/>
      </c>
      <c r="R79" s="141"/>
      <c r="S79" s="148" t="str">
        <f t="shared" si="97"/>
        <v/>
      </c>
      <c r="T79" s="137" t="str">
        <f t="shared" si="98"/>
        <v/>
      </c>
      <c r="U79" s="45"/>
      <c r="V79" s="35" t="str">
        <f>IF(OR(P79="",Y79=""),"",osc_exe_npmosc&amp;" --host "&amp;osc_ip&amp;":"&amp;osc_port_control&amp;" "&amp; osc_channel_meat_stub &amp; "  " &amp; j_qot &amp;X79 &amp; j_qot)</f>
        <v/>
      </c>
      <c r="W79" s="36" t="str">
        <f t="shared" si="82"/>
        <v/>
      </c>
      <c r="X79" s="36" t="str">
        <f t="shared" si="83"/>
        <v/>
      </c>
      <c r="Y79" s="40"/>
      <c r="Z79" s="36" t="str">
        <f t="shared" si="93"/>
        <v/>
      </c>
      <c r="AA79" s="36"/>
      <c r="AB79" s="36" t="str" cm="1">
        <f t="array" ref="AB79">IF(C79="observe",channel_av_observe,"") &amp; IF(C79="register",channel_av_register,"")  &amp; IF(C79="listen",channel_av_listen,"")</f>
        <v/>
      </c>
      <c r="AC79" s="36" t="str">
        <f t="shared" si="99"/>
        <v/>
      </c>
      <c r="AD79" s="36" t="str">
        <f t="shared" si="100"/>
        <v/>
      </c>
      <c r="AE79" s="42"/>
      <c r="AF79" s="56" t="str">
        <f>IF(language="en",AN79,AO79)</f>
        <v>How wonderful is this?</v>
      </c>
      <c r="AG79" s="56"/>
      <c r="AH79" s="56" t="s">
        <v>226</v>
      </c>
      <c r="AI79" s="56"/>
      <c r="AJ79" s="57">
        <f t="shared" si="103"/>
        <v>112</v>
      </c>
      <c r="AK79" s="56" t="str">
        <f t="shared" si="88"/>
        <v>112_how_wonderful</v>
      </c>
      <c r="AL79" s="56" t="str">
        <f>IF(AK79="","", AK79 &amp; ".wav")</f>
        <v>112_how_wonderful.wav</v>
      </c>
      <c r="AM79" s="133"/>
      <c r="AN79" s="59" t="str">
        <f>AN78</f>
        <v>How wonderful is this?</v>
      </c>
      <c r="AO79" s="59" t="str">
        <f>AO78</f>
        <v>Wie toll ist das denn?</v>
      </c>
      <c r="AP79" s="59"/>
      <c r="AQ79" s="59"/>
      <c r="AR79" s="59"/>
      <c r="AS79" s="59"/>
      <c r="AT79" s="59"/>
      <c r="AU79" s="59"/>
      <c r="AV79" s="59"/>
      <c r="AW79" s="59"/>
      <c r="AX79" s="59"/>
      <c r="AY79" s="59"/>
      <c r="AZ79" s="59"/>
      <c r="BA79" s="59"/>
      <c r="BB79" s="59"/>
      <c r="BC79" s="61"/>
      <c r="BD79" s="42"/>
      <c r="BE79" s="35"/>
      <c r="BF79" s="61"/>
      <c r="BG79" s="108"/>
      <c r="BH79" s="108"/>
      <c r="BI79" s="108" t="s">
        <v>77</v>
      </c>
      <c r="BJ79" s="110"/>
      <c r="BK79" s="61"/>
      <c r="BL79" s="42" t="s">
        <v>145</v>
      </c>
      <c r="BM79" s="35" t="s">
        <v>229</v>
      </c>
      <c r="BN79" s="35">
        <v>0</v>
      </c>
      <c r="BO79" s="35">
        <v>0</v>
      </c>
      <c r="BP79" s="35">
        <v>0</v>
      </c>
      <c r="BQ79" s="35">
        <v>0</v>
      </c>
      <c r="BR79" s="61"/>
      <c r="BS79" s="35">
        <v>-1</v>
      </c>
      <c r="BT79" s="35">
        <v>-1</v>
      </c>
      <c r="BU79" s="35">
        <v>-1</v>
      </c>
      <c r="BV79" s="35">
        <v>-1</v>
      </c>
      <c r="BW79" s="35">
        <v>-1</v>
      </c>
      <c r="BX79" s="61"/>
      <c r="BY79" s="34"/>
      <c r="BZ79" s="43" t="s">
        <v>165</v>
      </c>
      <c r="CA79" s="43" t="s">
        <v>165</v>
      </c>
      <c r="CB79" s="158" t="str">
        <f t="shared" si="58"/>
        <v/>
      </c>
      <c r="AOE79" s="28"/>
    </row>
    <row r="80" spans="1:80 1071:1071" s="27" customFormat="1" ht="17" customHeight="1">
      <c r="A80" s="32">
        <f>A79+1</f>
        <v>76</v>
      </c>
      <c r="B80" s="32"/>
      <c r="C80" s="32" t="s">
        <v>126</v>
      </c>
      <c r="D80" s="32"/>
      <c r="E80" s="34" t="s">
        <v>101</v>
      </c>
      <c r="F80" s="34" t="str">
        <f t="shared" si="79"/>
        <v/>
      </c>
      <c r="G80" s="34" t="str">
        <f t="shared" si="94"/>
        <v/>
      </c>
      <c r="H80" s="116" t="str">
        <f t="shared" ref="H80:H113" si="104">IFERROR(LOOKUP(G80, table_observe_commands),"")</f>
        <v/>
      </c>
      <c r="I80" s="36" t="str">
        <f t="shared" si="101"/>
        <v/>
      </c>
      <c r="J80" s="36" t="str">
        <f t="shared" ref="J80:J113" si="105">IFERROR(LOOKUP(I80, table_td_commands),"")</f>
        <v/>
      </c>
      <c r="K80" s="116" t="str">
        <f t="shared" si="102"/>
        <v/>
      </c>
      <c r="L80" s="36"/>
      <c r="M80" s="136" t="str">
        <f t="shared" si="45"/>
        <v/>
      </c>
      <c r="N80" s="116" t="str">
        <f t="shared" ref="N80:N113" si="106">IFERROR(LOOKUP(M80, table_bot_commands),"")</f>
        <v/>
      </c>
      <c r="O80" s="129" t="str">
        <f t="shared" si="80"/>
        <v/>
      </c>
      <c r="P80" s="37" t="str">
        <f>IF(Y80&lt;&gt;"x","",j_opn&amp;"id"&amp;j_sep&amp;A80 &amp; j_nxt&amp;label_deepfake_name &amp; j_sep &amp; AH80 &amp; j_nxt&amp; "type" &amp; j_sep &amp; label_meat &amp; j_nxt&amp; "channel" &amp;j_sep&amp;Z80&amp;j_nxt&amp;label_role&amp;j_sep&amp;AE80&amp;j_nxt&amp;label_text&amp;j_sep&amp;AF80&amp;j_nxt&amp;label_gpt_emo&amp;j_sep&amp;BD80&amp;j_nxt&amp;label_gpt_tone&amp;j_sep&amp;BE80&amp;j_nxt&amp;label_animate&amp;j_sub_opn&amp;label_pre&amp;j_sep&amp;IF(do_anim=FALSE,"",BG80)&amp;j_nxt&amp;label_post&amp;j_sep&amp;IF(do_anim="","",BH80)&amp;j_nxt&amp;label_next_state&amp;j_sep&amp;BI80&amp;J_sub_cls&amp;label_azure&amp;j_sub_opn&amp;label_style&amp;j_sep&amp;BL80&amp;j_nxt&amp;label_degree&amp;J_sep_num&amp;BM80&amp;j_nxt_num&amp;label_pause&amp;J_sep_num&amp;BN80&amp;j_nxt_num&amp;label_pitch&amp;J_sep_num&amp;BO80&amp;j_nxt_num&amp;label_rate&amp;J_sep_num&amp;BP80&amp;j_nxt_num&amp;label_volume&amp;J_sep_num&amp;BQ80&amp;j_sub_cls_num&amp;label_emotion&amp;j_sub_opn&amp;label_sad&amp;J_sep_num&amp;BS80&amp;j_nxt_num&amp;label_joy&amp;J_sep_num&amp;BT80&amp;j_nxt_num&amp;label_fear&amp;J_sep_num&amp;BU80&amp;j_nxt_num&amp;label_disgust&amp;J_sep_num&amp;BV80&amp;j_nxt_num&amp;label_anger&amp;J_sep_num&amp;BW80&amp;j_sub_cls_num&amp;label_sg&amp;j_sub_opn&amp;label_mood&amp;j_sep&amp;BY80&amp;j_nxt&amp;label_scale&amp;J_sep_num&amp;BZ80&amp;j_end_num)</f>
        <v>{"id":"76","name":"fantasize","type":"meat","channel":"say","role":"mask","text":"In our last meeting, you mentioned that you often fantasize about destroying your bosses office and smashing his car as revenge for the way he treats you. Do these fantasies still consume your mind?","gpt_emotion":"","gpt_tone":"","animate":{"pre":"","post":"","next_state":""},"azure":{"style":"","degree":0,"pause":0,"pitch":0,"rate":-8,"volume":0},"emotion":{"sadness":-1,"joy":-1,"fear":-1,"disgust":-1,"anger":-1},"sgcom":{"mood":"","scale":-1}}</v>
      </c>
      <c r="Q80" s="37" t="str">
        <f t="shared" si="96"/>
        <v/>
      </c>
      <c r="R80" s="141"/>
      <c r="S80" s="148" t="str">
        <f t="shared" si="97"/>
        <v>mask_spoke</v>
      </c>
      <c r="T80" s="137" t="str">
        <f t="shared" si="98"/>
        <v>{"words-in" : { "entity" : "Eliza"} }</v>
      </c>
      <c r="U80" s="45"/>
      <c r="V80" s="35" t="str">
        <f>IF(OR(P80="",Y80=""),"",osc_exe_npmosc&amp;" --host "&amp;osc_ip&amp;":"&amp;osc_port_control&amp;" "&amp; osc_channel_meat_stub &amp; "  " &amp; j_qot &amp;X80 &amp; j_qot)</f>
        <v>/opt/homebrew/bin/osc --host 10.10.10.10:5918 /meat  "{#Qid#Q:#Q76#Q#C#Qname#Q:#Qfantasize#Q#C#Qtype#Q:#Qmeat#Q#C#Qchannel#Q:#Qsay#Q#C#Qrole#Q:#Qmask#Q#C#Qtext#Q:#QIn#Sour#Slast#Smeeting#C#Syou#Smentioned#Sthat#Syou#Soften#Sfantasize#Sabout#Sdestroying#Syour#Sbosses#Soffice#Sand#Ssmashing#Shis#Scar#Sas#Srevenge#Sfor#Sthe#Sway#She#Streats#Syou.#SDo#Sthese#Sfantasies#Sstill#Sconsume#Syour#Smind?#Q#C#Qgpt_emotion#Q:#Q#Q#C#Qgpt_tone#Q:#Q#Q#C#Qanimate#Q:{#Qpre#Q:#Q#Q#C#Qpost#Q:#Q#Q#C#Qnext_state#Q:#Q#Q}#C#Qazure#Q:{#Qstyle#Q:#Q#Q#C#Qdegree#Q:0#C#Qpause#Q:0#C#Qpitch#Q:0#C#Qrate#Q:-8#C#Qvolume#Q:0}#C#Qemotion#Q:{#Qsadness#Q:-1#C#Qjoy#Q:-1#C#Qfear#Q:-1#C#Qdisgust#Q:-1#C#Qanger#Q:-1}#C#Qsgcom#Q:{#Qmood#Q:#Q#Q#C#Qscale#Q:-1}}"</v>
      </c>
      <c r="W80" s="36" t="str">
        <f t="shared" si="82"/>
        <v>/opt/homebrew/bin/sendosc 10.10.10.10 5918 say s {\"id\":\"76\",\"name\":\"fantasize\",\"type\":\"meat\",\"channel\":\"say\",\"role\":\"mask\",\"text\":\"In\ our\ last\ meeting,\ you\ mentioned\ that\ you\ often\ fantasize\ about\ destroying\ your\ bosses\ office\ and\ smashing\ his\ car\ as\ revenge\ for\ the\ way\ he\ treats\ you.\ Do\ these\ fantasies\ still\ consume\ your\ mind\?\",\"gpt_emotion\":\"\",\"gpt_tone\":\"\",\"animate\":{\"pre\":\"\",\"post\":\"\",\"next_state\":\"\"\},\"azure\":{\"style\":\"\",\"degree\":0,\"pause\":0,\"pitch\":0,\"rate\":-8,\"volume\":0\},\"emotion\":{\"sadness\":-1,\"joy\":-1,\"fear\":-1,\"disgust\":-1,\"anger\":-1\},\"sgcom\":{\"mood\":\"\",\"scale\":-1\}\}</v>
      </c>
      <c r="X80" s="36" t="str">
        <f t="shared" si="83"/>
        <v>{#Qid#Q:#Q76#Q#C#Qname#Q:#Qfantasize#Q#C#Qtype#Q:#Qmeat#Q#C#Qchannel#Q:#Qsay#Q#C#Qrole#Q:#Qmask#Q#C#Qtext#Q:#QIn#Sour#Slast#Smeeting#C#Syou#Smentioned#Sthat#Syou#Soften#Sfantasize#Sabout#Sdestroying#Syour#Sbosses#Soffice#Sand#Ssmashing#Shis#Scar#Sas#Srevenge#Sfor#Sthe#Sway#She#Streats#Syou.#SDo#Sthese#Sfantasies#Sstill#Sconsume#Syour#Smind?#Q#C#Qgpt_emotion#Q:#Q#Q#C#Qgpt_tone#Q:#Q#Q#C#Qanimate#Q:{#Qpre#Q:#Q#Q#C#Qpost#Q:#Q#Q#C#Qnext_state#Q:#Q#Q}#C#Qazure#Q:{#Qstyle#Q:#Q#Q#C#Qdegree#Q:0#C#Qpause#Q:0#C#Qpitch#Q:0#C#Qrate#Q:-8#C#Qvolume#Q:0}#C#Qemotion#Q:{#Qsadness#Q:-1#C#Qjoy#Q:-1#C#Qfear#Q:-1#C#Qdisgust#Q:-1#C#Qanger#Q:-1}#C#Qsgcom#Q:{#Qmood#Q:#Q#Q#C#Qscale#Q:-1}}</v>
      </c>
      <c r="Y80" s="40" t="s">
        <v>102</v>
      </c>
      <c r="Z80" s="36" t="str">
        <f t="shared" si="93"/>
        <v>say</v>
      </c>
      <c r="AA80" s="36"/>
      <c r="AB80" s="36" t="str" cm="1">
        <f t="array" ref="AB80">IF(C80="observe",channel_av_observe,"") &amp; IF(C80="register",channel_av_register,"")  &amp; IF(C80="listen",channel_av_listen,"")</f>
        <v/>
      </c>
      <c r="AC80" s="36" t="str">
        <f t="shared" si="99"/>
        <v/>
      </c>
      <c r="AD80" s="36" t="str">
        <f t="shared" si="100"/>
        <v/>
      </c>
      <c r="AE80" s="42" t="s">
        <v>103</v>
      </c>
      <c r="AF80" s="62" t="s">
        <v>230</v>
      </c>
      <c r="AG80" s="62"/>
      <c r="AH80" s="37" t="s">
        <v>231</v>
      </c>
      <c r="AI80" s="37"/>
      <c r="AJ80" s="114">
        <f>A80</f>
        <v>76</v>
      </c>
      <c r="AK80" s="56" t="str">
        <f t="shared" si="88"/>
        <v>076_fantasize</v>
      </c>
      <c r="AL80" s="37"/>
      <c r="AM80" s="133"/>
      <c r="AN80" s="37"/>
      <c r="AO80" s="37"/>
      <c r="AP80" s="37"/>
      <c r="AQ80" s="37"/>
      <c r="AR80" s="37"/>
      <c r="AS80" s="37"/>
      <c r="AT80" s="37"/>
      <c r="AU80" s="37"/>
      <c r="AV80" s="37"/>
      <c r="AW80" s="37"/>
      <c r="AX80" s="37"/>
      <c r="AY80" s="37"/>
      <c r="AZ80" s="37"/>
      <c r="BA80" s="37"/>
      <c r="BB80" s="37"/>
      <c r="BC80" s="41"/>
      <c r="BD80" s="42"/>
      <c r="BE80" s="42"/>
      <c r="BF80" s="41"/>
      <c r="BG80" s="108"/>
      <c r="BH80" s="108"/>
      <c r="BI80" s="108" t="s">
        <v>77</v>
      </c>
      <c r="BJ80" s="110"/>
      <c r="BK80" s="41"/>
      <c r="BL80" s="42"/>
      <c r="BM80" s="35">
        <v>0</v>
      </c>
      <c r="BN80" s="35">
        <v>0</v>
      </c>
      <c r="BO80" s="35">
        <v>0</v>
      </c>
      <c r="BP80" s="35">
        <v>-8</v>
      </c>
      <c r="BQ80" s="35">
        <v>0</v>
      </c>
      <c r="BR80" s="41"/>
      <c r="BS80" s="35">
        <v>-1</v>
      </c>
      <c r="BT80" s="35">
        <v>-1</v>
      </c>
      <c r="BU80" s="35">
        <v>-1</v>
      </c>
      <c r="BV80" s="35">
        <v>-1</v>
      </c>
      <c r="BW80" s="35">
        <v>-1</v>
      </c>
      <c r="BX80" s="41"/>
      <c r="BY80" s="34"/>
      <c r="BZ80" s="43" t="s">
        <v>165</v>
      </c>
      <c r="CA80" s="43" t="s">
        <v>165</v>
      </c>
      <c r="CB80" s="158" t="str">
        <f t="shared" si="58"/>
        <v>{"azure":{"style":"","degree":0,"pause":0,"pitch":0,"rate":-8,"volume":0},"emotion":{"sadness":-1,"joy":-1,"fear":-1,"disgust":-1,"anger":-1},"sgcom":{"mood":"","scale":-1}}</v>
      </c>
      <c r="AOE80" s="28"/>
    </row>
    <row r="81" spans="1:80 1071:1071" s="27" customFormat="1">
      <c r="A81" s="32">
        <f t="shared" si="15"/>
        <v>77</v>
      </c>
      <c r="B81" s="32"/>
      <c r="C81" s="32" t="s">
        <v>109</v>
      </c>
      <c r="D81" s="32"/>
      <c r="E81" s="34" t="s">
        <v>110</v>
      </c>
      <c r="F81" s="34" t="str">
        <f t="shared" si="79"/>
        <v/>
      </c>
      <c r="G81" s="34" t="str">
        <f t="shared" si="94"/>
        <v>unmute</v>
      </c>
      <c r="H81" s="116" t="str">
        <f t="shared" si="104"/>
        <v>{"av-command": "stt-control", "data": {"listening": true}}</v>
      </c>
      <c r="I81" s="36" t="str">
        <f t="shared" si="101"/>
        <v/>
      </c>
      <c r="J81" s="36" t="str">
        <f t="shared" si="105"/>
        <v/>
      </c>
      <c r="K81" s="116" t="str">
        <f t="shared" si="102"/>
        <v/>
      </c>
      <c r="L81" s="36"/>
      <c r="M81" s="136" t="str">
        <f t="shared" si="45"/>
        <v>mute</v>
      </c>
      <c r="N81" s="116" t="str">
        <f t="shared" si="106"/>
        <v>{ "command": "mute", "entity": "Eliza", "data" : null}</v>
      </c>
      <c r="O81" s="129" t="str">
        <f t="shared" si="80"/>
        <v>{ "command": "mute", "entity": "Eliza", "data" : null}</v>
      </c>
      <c r="P81" s="81"/>
      <c r="Q81" s="37" t="str">
        <f t="shared" si="96"/>
        <v/>
      </c>
      <c r="R81" s="141"/>
      <c r="S81" s="148" t="str">
        <f t="shared" si="97"/>
        <v>user_spoke</v>
      </c>
      <c r="T81" s="137" t="str">
        <f t="shared" si="98"/>
        <v>{"words-in" : { "entity" : "user"} }</v>
      </c>
      <c r="U81" s="45"/>
      <c r="V81" s="35" t="str">
        <f>IF(OR(P81="",Y81=""),"",osc_exe_npmosc&amp;" --host "&amp;osc_ip&amp;":"&amp;osc_port_control&amp;" "&amp;Z81&amp; "  " &amp; j_qot &amp;X81 &amp; j_qot)</f>
        <v/>
      </c>
      <c r="W81" s="36" t="str">
        <f t="shared" si="82"/>
        <v/>
      </c>
      <c r="X81" s="36" t="str">
        <f t="shared" si="83"/>
        <v/>
      </c>
      <c r="Y81" s="34"/>
      <c r="Z81" s="36" t="str">
        <f t="shared" si="93"/>
        <v/>
      </c>
      <c r="AA81" s="36"/>
      <c r="AB81" s="36" t="str" cm="1">
        <f t="array" ref="AB81">IF(C81="observe",channel_av_observe,"") &amp; IF(C81="register",channel_av_register,"")  &amp; IF(C81="listen",channel_av_listen,"")</f>
        <v>/listen</v>
      </c>
      <c r="AC81" s="36" t="str">
        <f t="shared" si="99"/>
        <v/>
      </c>
      <c r="AD81" s="36" t="str">
        <f t="shared" si="100"/>
        <v/>
      </c>
      <c r="AE81" s="42"/>
      <c r="AF81" s="46" t="s">
        <v>232</v>
      </c>
      <c r="AG81" s="46"/>
      <c r="AH81" s="47"/>
      <c r="AI81" s="47"/>
      <c r="AJ81" s="47"/>
      <c r="AK81" s="56" t="str">
        <f t="shared" si="88"/>
        <v/>
      </c>
      <c r="AL81" s="47"/>
      <c r="AM81" s="133"/>
      <c r="AN81" s="47"/>
      <c r="AO81" s="47"/>
      <c r="AP81" s="47"/>
      <c r="AQ81" s="47"/>
      <c r="AR81" s="47"/>
      <c r="AS81" s="47"/>
      <c r="AT81" s="47"/>
      <c r="AU81" s="47"/>
      <c r="AV81" s="47"/>
      <c r="AW81" s="47"/>
      <c r="AX81" s="47"/>
      <c r="AY81" s="47"/>
      <c r="AZ81" s="47"/>
      <c r="BA81" s="47"/>
      <c r="BB81" s="47"/>
      <c r="BC81" s="48"/>
      <c r="BD81" s="42"/>
      <c r="BE81" s="35"/>
      <c r="BF81" s="48"/>
      <c r="BG81" s="108"/>
      <c r="BH81" s="108"/>
      <c r="BI81" s="108" t="s">
        <v>77</v>
      </c>
      <c r="BJ81" s="110"/>
      <c r="BK81" s="48"/>
      <c r="BL81" s="47"/>
      <c r="BM81" s="35"/>
      <c r="BN81" s="35"/>
      <c r="BO81" s="35"/>
      <c r="BP81" s="35"/>
      <c r="BQ81" s="35"/>
      <c r="BR81" s="48"/>
      <c r="BS81" s="35"/>
      <c r="BT81" s="35"/>
      <c r="BU81" s="35"/>
      <c r="BV81" s="35"/>
      <c r="BW81" s="35"/>
      <c r="BX81" s="48"/>
      <c r="BY81" s="34"/>
      <c r="BZ81" s="43"/>
      <c r="CA81" s="43"/>
      <c r="CB81" s="158" t="str">
        <f t="shared" ref="CB81:CB112" si="107">IF(Y81&lt;&gt;"x","",j_opn&amp;label_azure&amp;j_sub_opn&amp;label_style&amp;j_sep&amp;BL81&amp;j_nxt&amp;label_degree&amp;J_sep_num&amp;BM81&amp;j_nxt_num&amp;label_pause&amp;J_sep_num&amp;BN81&amp;j_nxt_num&amp;label_pitch&amp;J_sep_num&amp;BO81&amp;j_nxt_num&amp;label_rate&amp;J_sep_num&amp;BP81&amp;j_nxt_num&amp;label_volume&amp;J_sep_num&amp;BQ81&amp;j_sub_cls_num&amp;label_emotion&amp;j_sub_opn&amp;label_sad&amp;J_sep_num&amp;BS81&amp;j_nxt_num&amp;label_joy&amp;J_sep_num&amp;BT81&amp;j_nxt_num&amp;label_fear&amp;J_sep_num&amp;BU81&amp;j_nxt_num&amp;label_disgust&amp;J_sep_num&amp;BV81&amp;j_nxt_num&amp;label_anger&amp;J_sep_num&amp;BW81&amp;j_sub_cls_num&amp;label_sg&amp;j_sub_opn&amp;label_mood&amp;j_sep&amp;BY81&amp;j_nxt&amp;label_scale&amp;J_sep_num&amp;BZ81&amp;j_end_num)</f>
        <v/>
      </c>
      <c r="AOE81" s="28"/>
    </row>
    <row r="82" spans="1:80 1071:1071" s="27" customFormat="1" ht="17" customHeight="1">
      <c r="A82" s="32">
        <f t="shared" ref="A82:A141" si="108">A81+1</f>
        <v>78</v>
      </c>
      <c r="B82" s="32"/>
      <c r="C82" s="32" t="s">
        <v>100</v>
      </c>
      <c r="D82" s="32"/>
      <c r="E82" s="34" t="s">
        <v>101</v>
      </c>
      <c r="F82" s="34" t="str">
        <f t="shared" si="79"/>
        <v/>
      </c>
      <c r="G82" s="34" t="str">
        <f t="shared" si="94"/>
        <v>mute</v>
      </c>
      <c r="H82" s="116" t="str">
        <f t="shared" si="104"/>
        <v>{"av-command": "stt-control", "data": {"listening": false}}</v>
      </c>
      <c r="I82" s="36" t="str">
        <f t="shared" si="101"/>
        <v/>
      </c>
      <c r="J82" s="36" t="str">
        <f t="shared" si="105"/>
        <v/>
      </c>
      <c r="K82" s="116" t="str">
        <f t="shared" si="102"/>
        <v/>
      </c>
      <c r="L82" s="36"/>
      <c r="M82" s="136" t="str">
        <f t="shared" ref="M82:M141" si="109">IF(L82&lt;&gt;"",L82,IF(C82="maketext","unmute","")&amp;IF(C82="speak","speak","")&amp;IF(C82="listen","mute",""))</f>
        <v>speak</v>
      </c>
      <c r="N82" s="116" t="str">
        <f t="shared" si="106"/>
        <v>{ "command": "speak", "entity": "Eliza", "data" : { "text" : "%text"}}</v>
      </c>
      <c r="O82" s="129" t="str">
        <f t="shared" si="80"/>
        <v>{ "command": "speak", "entity": "Eliza", "data" : { "text" : "Of course you did! Let’s have a look:"}}</v>
      </c>
      <c r="P82" s="37" t="str">
        <f>IF(Y82&lt;&gt;"x","",j_opn&amp;"id"&amp;j_sep&amp;A82 &amp; j_nxt&amp;label_deepfake_name &amp; j_sep &amp; AH82 &amp; j_nxt&amp; "type" &amp; j_sep &amp; label_meat &amp; j_nxt&amp; "channel" &amp;j_sep&amp;Z82&amp;j_nxt&amp;label_role&amp;j_sep&amp;AE82&amp;j_nxt&amp;label_text&amp;j_sep&amp;AF82&amp;j_nxt&amp;label_gpt_emo&amp;j_sep&amp;BD82&amp;j_nxt&amp;label_gpt_tone&amp;j_sep&amp;BE82&amp;j_nxt&amp;label_animate&amp;j_sub_opn&amp;label_pre&amp;j_sep&amp;IF(do_anim=FALSE,"",BG82)&amp;j_nxt&amp;label_post&amp;j_sep&amp;IF(do_anim="","",BH82)&amp;j_nxt&amp;label_next_state&amp;j_sep&amp;BI82&amp;J_sub_cls&amp;label_azure&amp;j_sub_opn&amp;label_style&amp;j_sep&amp;BL82&amp;j_nxt&amp;label_degree&amp;J_sep_num&amp;BM82&amp;j_nxt_num&amp;label_pause&amp;J_sep_num&amp;BN82&amp;j_nxt_num&amp;label_pitch&amp;J_sep_num&amp;BO82&amp;j_nxt_num&amp;label_rate&amp;J_sep_num&amp;BP82&amp;j_nxt_num&amp;label_volume&amp;J_sep_num&amp;BQ82&amp;j_sub_cls_num&amp;label_emotion&amp;j_sub_opn&amp;label_sad&amp;J_sep_num&amp;BS82&amp;j_nxt_num&amp;label_joy&amp;J_sep_num&amp;BT82&amp;j_nxt_num&amp;label_fear&amp;J_sep_num&amp;BU82&amp;j_nxt_num&amp;label_disgust&amp;J_sep_num&amp;BV82&amp;j_nxt_num&amp;label_anger&amp;J_sep_num&amp;BW82&amp;j_sub_cls_num&amp;label_sg&amp;j_sub_opn&amp;label_mood&amp;j_sep&amp;BY82&amp;j_nxt&amp;label_scale&amp;J_sep_num&amp;BZ82&amp;j_end_num)</f>
        <v>{"id":"78","name":"look","type":"meat","channel":"say","role":"mask","text":"Of course you did! Let’s have a look:","gpt_emotion":"","gpt_tone":"","animate":{"pre":"","post":"","next_state":""},"azure":{"style":"","degree":0,"pause":0,"pitch":0,"rate":-8,"volume":0},"emotion":{"sadness":-1,"joy":-1,"fear":-1,"disgust":-1,"anger":-1},"sgcom":{"mood":"","scale":-1}}</v>
      </c>
      <c r="Q82" s="37" t="str">
        <f t="shared" si="96"/>
        <v>{"id":"78","name":"look","type":"meat","channel":"say","role":"mask","text":"Of course you did! Let’s have a look:","gpt_emotion":"","gpt_tone":"","animate":{"pre":"","post":"","next_state":""},"azure":{"style":"","degree":0,"pause":0,"pitch":0,"rate":-8,"volume":0},"emotion":{"sadness":-1,"joy":-1,"fear":-1,"disgust":-1,"anger":-1},"sgcom":{"mood":"","scale":-1}}</v>
      </c>
      <c r="R82" s="141"/>
      <c r="S82" s="148" t="str">
        <f t="shared" si="97"/>
        <v>mask_spoke</v>
      </c>
      <c r="T82" s="137" t="str">
        <f t="shared" si="98"/>
        <v>{"words-in" : { "entity" : "Eliza"} }</v>
      </c>
      <c r="U82" s="45"/>
      <c r="V82" s="35" t="str">
        <f>IF(OR(P82="",Y82=""),"",osc_exe_npmosc&amp;" --host "&amp;osc_ip&amp;":"&amp;osc_port_control&amp;" "&amp; osc_channel_meat_stub &amp; "  " &amp; j_qot &amp;X82 &amp; j_qot)</f>
        <v>/opt/homebrew/bin/osc --host 10.10.10.10:5918 /meat  "{#Qid#Q:#Q78#Q#C#Qname#Q:#Qlook#Q#C#Qtype#Q:#Qmeat#Q#C#Qchannel#Q:#Qsay#Q#C#Qrole#Q:#Qmask#Q#C#Qtext#Q:#QOf#Scourse#Syou#Sdid!#SLet’s#Shave#Sa#Slook:#Q#C#Qgpt_emotion#Q:#Q#Q#C#Qgpt_tone#Q:#Q#Q#C#Qanimate#Q:{#Qpre#Q:#Q#Q#C#Qpost#Q:#Q#Q#C#Qnext_state#Q:#Q#Q}#C#Qazure#Q:{#Qstyle#Q:#Q#Q#C#Qdegree#Q:0#C#Qpause#Q:0#C#Qpitch#Q:0#C#Qrate#Q:-8#C#Qvolume#Q:0}#C#Qemotion#Q:{#Qsadness#Q:-1#C#Qjoy#Q:-1#C#Qfear#Q:-1#C#Qdisgust#Q:-1#C#Qanger#Q:-1}#C#Qsgcom#Q:{#Qmood#Q:#Q#Q#C#Qscale#Q:-1}}"</v>
      </c>
      <c r="W82" s="36" t="str">
        <f t="shared" si="82"/>
        <v>/opt/homebrew/bin/sendosc 10.10.10.10 5918 say s {\"id\":\"78\",\"name\":\"look\",\"type\":\"meat\",\"channel\":\"say\",\"role\":\"mask\",\"text\":\"Of\ course\ you\ did!\ Let’s\ have\ a\ look:\",\"gpt_emotion\":\"\",\"gpt_tone\":\"\",\"animate\":{\"pre\":\"\",\"post\":\"\",\"next_state\":\"\"\},\"azure\":{\"style\":\"\",\"degree\":0,\"pause\":0,\"pitch\":0,\"rate\":-8,\"volume\":0\},\"emotion\":{\"sadness\":-1,\"joy\":-1,\"fear\":-1,\"disgust\":-1,\"anger\":-1\},\"sgcom\":{\"mood\":\"\",\"scale\":-1\}\}</v>
      </c>
      <c r="X82" s="36" t="str">
        <f t="shared" si="83"/>
        <v>{#Qid#Q:#Q78#Q#C#Qname#Q:#Qlook#Q#C#Qtype#Q:#Qmeat#Q#C#Qchannel#Q:#Qsay#Q#C#Qrole#Q:#Qmask#Q#C#Qtext#Q:#QOf#Scourse#Syou#Sdid!#SLet’s#Shave#Sa#Slook:#Q#C#Qgpt_emotion#Q:#Q#Q#C#Qgpt_tone#Q:#Q#Q#C#Qanimate#Q:{#Qpre#Q:#Q#Q#C#Qpost#Q:#Q#Q#C#Qnext_state#Q:#Q#Q}#C#Qazure#Q:{#Qstyle#Q:#Q#Q#C#Qdegree#Q:0#C#Qpause#Q:0#C#Qpitch#Q:0#C#Qrate#Q:-8#C#Qvolume#Q:0}#C#Qemotion#Q:{#Qsadness#Q:-1#C#Qjoy#Q:-1#C#Qfear#Q:-1#C#Qdisgust#Q:-1#C#Qanger#Q:-1}#C#Qsgcom#Q:{#Qmood#Q:#Q#Q#C#Qscale#Q:-1}}</v>
      </c>
      <c r="Y82" s="40" t="s">
        <v>102</v>
      </c>
      <c r="Z82" s="36" t="str">
        <f t="shared" si="93"/>
        <v>say</v>
      </c>
      <c r="AA82" s="36"/>
      <c r="AB82" s="36" t="str" cm="1">
        <f t="array" ref="AB82">IF(C82="observe",channel_av_observe,"") &amp; IF(C82="register",channel_av_register,"")  &amp; IF(C82="listen",channel_av_listen,"")</f>
        <v/>
      </c>
      <c r="AC82" s="36" t="str">
        <f t="shared" si="99"/>
        <v/>
      </c>
      <c r="AD82" s="36" t="str">
        <f t="shared" si="100"/>
        <v/>
      </c>
      <c r="AE82" s="42" t="s">
        <v>103</v>
      </c>
      <c r="AF82" s="62" t="s">
        <v>233</v>
      </c>
      <c r="AG82" s="62"/>
      <c r="AH82" s="37" t="s">
        <v>234</v>
      </c>
      <c r="AI82" s="37"/>
      <c r="AJ82" s="114">
        <f>A82</f>
        <v>78</v>
      </c>
      <c r="AK82" s="56" t="str">
        <f t="shared" si="88"/>
        <v>078_look</v>
      </c>
      <c r="AL82" s="37"/>
      <c r="AM82" s="133"/>
      <c r="AN82" s="37"/>
      <c r="AO82" s="37"/>
      <c r="AP82" s="37"/>
      <c r="AQ82" s="37"/>
      <c r="AR82" s="37"/>
      <c r="AS82" s="37"/>
      <c r="AT82" s="37"/>
      <c r="AU82" s="37"/>
      <c r="AV82" s="37"/>
      <c r="AW82" s="37"/>
      <c r="AX82" s="37"/>
      <c r="AY82" s="37"/>
      <c r="AZ82" s="37"/>
      <c r="BA82" s="37"/>
      <c r="BB82" s="37"/>
      <c r="BC82" s="41"/>
      <c r="BD82" s="42"/>
      <c r="BE82" s="42"/>
      <c r="BF82" s="41"/>
      <c r="BG82" s="108"/>
      <c r="BH82" s="108"/>
      <c r="BI82" s="108" t="s">
        <v>77</v>
      </c>
      <c r="BJ82" s="110"/>
      <c r="BK82" s="41"/>
      <c r="BL82" s="42"/>
      <c r="BM82" s="35">
        <v>0</v>
      </c>
      <c r="BN82" s="35">
        <v>0</v>
      </c>
      <c r="BO82" s="35">
        <v>0</v>
      </c>
      <c r="BP82" s="35">
        <v>-8</v>
      </c>
      <c r="BQ82" s="35">
        <v>0</v>
      </c>
      <c r="BR82" s="41"/>
      <c r="BS82" s="35">
        <v>-1</v>
      </c>
      <c r="BT82" s="35">
        <v>-1</v>
      </c>
      <c r="BU82" s="35">
        <v>-1</v>
      </c>
      <c r="BV82" s="35">
        <v>-1</v>
      </c>
      <c r="BW82" s="35">
        <v>-1</v>
      </c>
      <c r="BX82" s="41"/>
      <c r="BY82" s="34"/>
      <c r="BZ82" s="43" t="s">
        <v>165</v>
      </c>
      <c r="CA82" s="43" t="s">
        <v>165</v>
      </c>
      <c r="CB82" s="158" t="str">
        <f t="shared" si="107"/>
        <v>{"azure":{"style":"","degree":0,"pause":0,"pitch":0,"rate":-8,"volume":0},"emotion":{"sadness":-1,"joy":-1,"fear":-1,"disgust":-1,"anger":-1},"sgcom":{"mood":"","scale":-1}}</v>
      </c>
      <c r="AOE82" s="28"/>
    </row>
    <row r="83" spans="1:80 1071:1071" s="27" customFormat="1">
      <c r="A83" s="32">
        <f t="shared" si="15"/>
        <v>79</v>
      </c>
      <c r="B83" s="32">
        <v>6</v>
      </c>
      <c r="C83" s="32" t="s">
        <v>73</v>
      </c>
      <c r="D83" s="32"/>
      <c r="E83" s="34" t="s">
        <v>235</v>
      </c>
      <c r="F83" s="34" t="str">
        <f t="shared" si="79"/>
        <v/>
      </c>
      <c r="G83" s="34" t="str">
        <f t="shared" si="94"/>
        <v/>
      </c>
      <c r="H83" s="116" t="str">
        <f t="shared" si="104"/>
        <v/>
      </c>
      <c r="I83" s="36" t="str">
        <f t="shared" si="101"/>
        <v>mood</v>
      </c>
      <c r="J83" s="36" t="str">
        <f t="shared" si="105"/>
        <v>{"command" : "mood","id":%id,"mood_num":"%mood_num"}</v>
      </c>
      <c r="K83" s="116" t="str">
        <f t="shared" si="102"/>
        <v>{"command" : "mood","id":79,"mood_num":"6"}</v>
      </c>
      <c r="L83" s="36"/>
      <c r="M83" s="136" t="str">
        <f t="shared" si="109"/>
        <v/>
      </c>
      <c r="N83" s="116" t="str">
        <f t="shared" si="106"/>
        <v/>
      </c>
      <c r="O83" s="129" t="str">
        <f t="shared" si="80"/>
        <v/>
      </c>
      <c r="P83" s="81"/>
      <c r="Q83" s="37" t="str">
        <f t="shared" si="96"/>
        <v/>
      </c>
      <c r="R83" s="141">
        <v>0</v>
      </c>
      <c r="S83" s="148">
        <f t="shared" si="97"/>
        <v>0</v>
      </c>
      <c r="T83" s="137">
        <f t="shared" si="98"/>
        <v>0</v>
      </c>
      <c r="U83" s="45"/>
      <c r="V83" s="35" t="str">
        <f>IF(OR(P83="",Y83=""),"",osc_exe_npmosc&amp;" --host "&amp;osc_ip&amp;":"&amp;osc_port_control&amp;" "&amp;Z83&amp; "  " &amp; j_qot &amp;X83 &amp; j_qot)</f>
        <v/>
      </c>
      <c r="W83" s="36" t="str">
        <f t="shared" si="82"/>
        <v/>
      </c>
      <c r="X83" s="36" t="str">
        <f t="shared" si="83"/>
        <v/>
      </c>
      <c r="Y83" s="34"/>
      <c r="Z83" s="36" t="str">
        <f t="shared" si="93"/>
        <v/>
      </c>
      <c r="AA83" s="36"/>
      <c r="AB83" s="36" t="str" cm="1">
        <f t="array" ref="AB83">IF(C83="observe",channel_av_observe,"") &amp; IF(C83="register",channel_av_register,"")  &amp; IF(C83="listen",channel_av_listen,"")</f>
        <v/>
      </c>
      <c r="AC83" s="36" t="str">
        <f t="shared" si="99"/>
        <v>/mood</v>
      </c>
      <c r="AD83" s="36" t="str">
        <f t="shared" si="100"/>
        <v/>
      </c>
      <c r="AE83" s="42"/>
      <c r="AF83" s="35"/>
      <c r="AG83" s="35"/>
      <c r="AH83" s="35"/>
      <c r="AI83" s="35"/>
      <c r="AJ83" s="35"/>
      <c r="AK83" s="56" t="str">
        <f t="shared" si="88"/>
        <v/>
      </c>
      <c r="AL83" s="35"/>
      <c r="AM83" s="133"/>
      <c r="AN83" s="35"/>
      <c r="AO83" s="35"/>
      <c r="AP83" s="35"/>
      <c r="AQ83" s="35"/>
      <c r="AR83" s="35"/>
      <c r="AS83" s="35"/>
      <c r="AT83" s="35"/>
      <c r="AU83" s="35"/>
      <c r="AV83" s="35"/>
      <c r="AW83" s="35"/>
      <c r="AX83" s="35"/>
      <c r="AY83" s="35"/>
      <c r="AZ83" s="35"/>
      <c r="BA83" s="35"/>
      <c r="BB83" s="35"/>
      <c r="BC83" s="44"/>
      <c r="BD83" s="42"/>
      <c r="BE83" s="35"/>
      <c r="BF83" s="44"/>
      <c r="BG83" s="108"/>
      <c r="BH83" s="108"/>
      <c r="BI83" s="108" t="s">
        <v>77</v>
      </c>
      <c r="BJ83" s="110"/>
      <c r="BK83" s="44"/>
      <c r="BL83" s="35"/>
      <c r="BM83" s="35"/>
      <c r="BN83" s="35"/>
      <c r="BO83" s="35"/>
      <c r="BP83" s="35"/>
      <c r="BQ83" s="35"/>
      <c r="BR83" s="44"/>
      <c r="BS83" s="35"/>
      <c r="BT83" s="35"/>
      <c r="BU83" s="35"/>
      <c r="BV83" s="35"/>
      <c r="BW83" s="35"/>
      <c r="BX83" s="44"/>
      <c r="BY83" s="34"/>
      <c r="BZ83" s="43"/>
      <c r="CA83" s="43"/>
      <c r="CB83" s="158" t="str">
        <f t="shared" si="107"/>
        <v/>
      </c>
      <c r="AOE83" s="28"/>
    </row>
    <row r="84" spans="1:80 1071:1071" s="27" customFormat="1">
      <c r="A84" s="32">
        <f>A83+1</f>
        <v>80</v>
      </c>
      <c r="B84" s="32"/>
      <c r="C84" s="32" t="s">
        <v>236</v>
      </c>
      <c r="D84" s="63">
        <v>1</v>
      </c>
      <c r="E84" s="34" t="s">
        <v>237</v>
      </c>
      <c r="F84" s="34" t="str">
        <f t="shared" si="79"/>
        <v/>
      </c>
      <c r="G84" s="34" t="str">
        <f t="shared" si="94"/>
        <v>mute</v>
      </c>
      <c r="H84" s="116" t="str">
        <f t="shared" si="104"/>
        <v>{"av-command": "stt-control", "data": {"listening": false}}</v>
      </c>
      <c r="I84" s="36" t="str">
        <f t="shared" si="101"/>
        <v>fakeplay</v>
      </c>
      <c r="J84" s="36" t="str">
        <f t="shared" si="105"/>
        <v>{"command" : "playfake","id":%id,"screens":[%screens]}</v>
      </c>
      <c r="K84" s="116" t="str">
        <f t="shared" si="102"/>
        <v>{"command" : "playfake","id":80,"screens":[1]}</v>
      </c>
      <c r="L84" s="36"/>
      <c r="M84" s="136" t="str">
        <f t="shared" si="109"/>
        <v/>
      </c>
      <c r="N84" s="116" t="str">
        <f t="shared" si="106"/>
        <v/>
      </c>
      <c r="O84" s="129" t="str">
        <f t="shared" si="80"/>
        <v/>
      </c>
      <c r="P84" s="83" t="str">
        <f>"{""id"":" &amp; A84 &amp; ", ""screens"":[" &amp; D84 &amp; "]}"</f>
        <v>{"id":80, "screens":[1]}</v>
      </c>
      <c r="Q84" s="37" t="str">
        <f t="shared" si="96"/>
        <v>{"id":80, "screens":[1]}</v>
      </c>
      <c r="R84" s="141"/>
      <c r="S84" s="148" t="str">
        <f t="shared" si="97"/>
        <v>clone_spoke</v>
      </c>
      <c r="T84" s="137" t="str">
        <f t="shared" si="98"/>
        <v>{"words-in" : { "entity" : "deepfake"} }</v>
      </c>
      <c r="U84" s="45"/>
      <c r="V84" s="35" t="str">
        <f>"afplay " &amp; AL84 &amp; " &amp;"</f>
        <v>afplay 080_hallucination.mp3 &amp;</v>
      </c>
      <c r="W84" s="36" t="str">
        <f t="shared" si="82"/>
        <v/>
      </c>
      <c r="X84" s="36" t="str">
        <f t="shared" si="83"/>
        <v/>
      </c>
      <c r="Y84" s="34"/>
      <c r="Z84" s="36" t="str">
        <f t="shared" si="93"/>
        <v/>
      </c>
      <c r="AA84" s="36"/>
      <c r="AB84" s="36" t="str" cm="1">
        <f t="array" ref="AB84">IF(C84="observe",channel_av_observe,"") &amp; IF(C84="register",channel_av_register,"")  &amp; IF(C84="listen",channel_av_listen,"")</f>
        <v/>
      </c>
      <c r="AC84" s="36" t="str">
        <f t="shared" si="99"/>
        <v>/screen</v>
      </c>
      <c r="AD84" s="36" t="str">
        <f t="shared" si="100"/>
        <v/>
      </c>
      <c r="AE84" s="42"/>
      <c r="AF84" s="64" t="str">
        <f>AN59</f>
        <v>Sometimes, I imagine myself breaking into my boss's office and destroying everything inside. Then, I picture myself slashing his tires and smashing the windows of his car.</v>
      </c>
      <c r="AG84" s="64"/>
      <c r="AH84" s="56"/>
      <c r="AI84" s="56"/>
      <c r="AJ84" s="56"/>
      <c r="AK84" s="56" t="str">
        <f t="shared" si="88"/>
        <v/>
      </c>
      <c r="AL84" s="56" t="str">
        <f>AL59</f>
        <v>080_hallucination.mp3</v>
      </c>
      <c r="AM84" s="133"/>
      <c r="AN84" s="56"/>
      <c r="AO84" s="56"/>
      <c r="AP84" s="56"/>
      <c r="AQ84" s="56"/>
      <c r="AR84" s="56"/>
      <c r="AS84" s="56"/>
      <c r="AT84" s="56"/>
      <c r="AU84" s="56"/>
      <c r="AV84" s="56"/>
      <c r="AW84" s="56"/>
      <c r="AX84" s="56"/>
      <c r="AY84" s="56"/>
      <c r="AZ84" s="56"/>
      <c r="BA84" s="56"/>
      <c r="BB84" s="56"/>
      <c r="BC84" s="58"/>
      <c r="BD84" s="42"/>
      <c r="BE84" s="35"/>
      <c r="BF84" s="58"/>
      <c r="BG84" s="108"/>
      <c r="BH84" s="108"/>
      <c r="BI84" s="108" t="s">
        <v>77</v>
      </c>
      <c r="BJ84" s="110"/>
      <c r="BK84" s="58"/>
      <c r="BL84" s="56"/>
      <c r="BM84" s="35"/>
      <c r="BN84" s="35"/>
      <c r="BO84" s="35"/>
      <c r="BP84" s="35"/>
      <c r="BQ84" s="35"/>
      <c r="BR84" s="58"/>
      <c r="BS84" s="35"/>
      <c r="BT84" s="35"/>
      <c r="BU84" s="35"/>
      <c r="BV84" s="35"/>
      <c r="BW84" s="35"/>
      <c r="BX84" s="58"/>
      <c r="BY84" s="34"/>
      <c r="BZ84" s="43"/>
      <c r="CA84" s="43"/>
      <c r="CB84" s="158" t="str">
        <f t="shared" si="107"/>
        <v/>
      </c>
      <c r="AOE84" s="28"/>
    </row>
    <row r="85" spans="1:80 1071:1071" s="27" customFormat="1">
      <c r="A85" s="32">
        <f t="shared" si="108"/>
        <v>81</v>
      </c>
      <c r="B85" s="32"/>
      <c r="C85" s="32" t="s">
        <v>85</v>
      </c>
      <c r="D85" s="32"/>
      <c r="E85" s="34" t="s">
        <v>238</v>
      </c>
      <c r="F85" s="34" t="str">
        <f t="shared" si="79"/>
        <v/>
      </c>
      <c r="G85" s="34" t="str">
        <f t="shared" si="94"/>
        <v/>
      </c>
      <c r="H85" s="116" t="str">
        <f t="shared" si="104"/>
        <v/>
      </c>
      <c r="I85" s="36" t="str">
        <f t="shared" si="101"/>
        <v/>
      </c>
      <c r="J85" s="36" t="str">
        <f t="shared" si="105"/>
        <v/>
      </c>
      <c r="K85" s="116" t="str">
        <f t="shared" si="102"/>
        <v/>
      </c>
      <c r="L85" s="36"/>
      <c r="M85" s="136" t="str">
        <f t="shared" si="109"/>
        <v/>
      </c>
      <c r="N85" s="116" t="str">
        <f t="shared" si="106"/>
        <v/>
      </c>
      <c r="O85" s="129" t="str">
        <f t="shared" si="80"/>
        <v/>
      </c>
      <c r="P85" s="81"/>
      <c r="Q85" s="37" t="str">
        <f t="shared" si="96"/>
        <v/>
      </c>
      <c r="R85" s="141" t="s">
        <v>239</v>
      </c>
      <c r="S85" s="148" t="str">
        <f t="shared" si="97"/>
        <v>user_faceaway</v>
      </c>
      <c r="T85" s="137" t="str">
        <f t="shared" si="98"/>
        <v>{"av" : {"av-command": "vision-facing-cam-update", "data": {"facing_camera": false}}}</v>
      </c>
      <c r="U85" s="45"/>
      <c r="V85" s="35" t="str">
        <f>IF(OR(P85="",Y85=""),"",osc_exe_npmosc&amp;" --host "&amp;osc_ip&amp;":"&amp;osc_port_control&amp;" "&amp;Z85&amp; "  " &amp; j_qot &amp;X85 &amp; j_qot)</f>
        <v/>
      </c>
      <c r="W85" s="36" t="str">
        <f t="shared" si="82"/>
        <v/>
      </c>
      <c r="X85" s="36" t="str">
        <f t="shared" si="83"/>
        <v/>
      </c>
      <c r="Y85" s="34"/>
      <c r="Z85" s="36" t="str">
        <f t="shared" si="93"/>
        <v/>
      </c>
      <c r="AA85" s="36"/>
      <c r="AB85" s="36" t="str" cm="1">
        <f t="array" ref="AB85">IF(C85="observe",channel_av_observe,"") &amp; IF(C85="register",channel_av_register,"")  &amp; IF(C85="listen",channel_av_listen,"")</f>
        <v>/observe</v>
      </c>
      <c r="AC85" s="36" t="str">
        <f t="shared" si="99"/>
        <v/>
      </c>
      <c r="AD85" s="36" t="str">
        <f t="shared" si="100"/>
        <v/>
      </c>
      <c r="AE85" s="42"/>
      <c r="AF85" s="35"/>
      <c r="AG85" s="35"/>
      <c r="AH85" s="35"/>
      <c r="AI85" s="35"/>
      <c r="AJ85" s="35"/>
      <c r="AK85" s="56" t="str">
        <f t="shared" si="88"/>
        <v/>
      </c>
      <c r="AL85" s="35"/>
      <c r="AM85" s="133"/>
      <c r="AN85" s="35"/>
      <c r="AO85" s="35"/>
      <c r="AP85" s="35"/>
      <c r="AQ85" s="35"/>
      <c r="AR85" s="35"/>
      <c r="AS85" s="35"/>
      <c r="AT85" s="35"/>
      <c r="AU85" s="35"/>
      <c r="AV85" s="35"/>
      <c r="AW85" s="35"/>
      <c r="AX85" s="35"/>
      <c r="AY85" s="35"/>
      <c r="AZ85" s="35"/>
      <c r="BA85" s="35"/>
      <c r="BB85" s="35"/>
      <c r="BC85" s="44"/>
      <c r="BD85" s="42"/>
      <c r="BE85" s="35"/>
      <c r="BF85" s="44"/>
      <c r="BG85" s="108"/>
      <c r="BH85" s="108"/>
      <c r="BI85" s="108" t="s">
        <v>77</v>
      </c>
      <c r="BJ85" s="110"/>
      <c r="BK85" s="44"/>
      <c r="BL85" s="35"/>
      <c r="BM85" s="35"/>
      <c r="BN85" s="35"/>
      <c r="BO85" s="35"/>
      <c r="BP85" s="35"/>
      <c r="BQ85" s="35"/>
      <c r="BR85" s="44"/>
      <c r="BS85" s="35"/>
      <c r="BT85" s="35"/>
      <c r="BU85" s="35"/>
      <c r="BV85" s="35"/>
      <c r="BW85" s="35"/>
      <c r="BX85" s="44"/>
      <c r="BY85" s="34"/>
      <c r="BZ85" s="43"/>
      <c r="CA85" s="43"/>
      <c r="CB85" s="158" t="str">
        <f t="shared" si="107"/>
        <v/>
      </c>
      <c r="AOE85" s="28"/>
    </row>
    <row r="86" spans="1:80 1071:1071" s="27" customFormat="1" ht="17" customHeight="1">
      <c r="A86" s="32">
        <f t="shared" si="108"/>
        <v>82</v>
      </c>
      <c r="B86" s="32"/>
      <c r="C86" s="32" t="s">
        <v>100</v>
      </c>
      <c r="D86" s="32"/>
      <c r="E86" s="34" t="s">
        <v>101</v>
      </c>
      <c r="F86" s="34" t="str">
        <f t="shared" si="79"/>
        <v/>
      </c>
      <c r="G86" s="34" t="str">
        <f t="shared" si="94"/>
        <v>mute</v>
      </c>
      <c r="H86" s="116" t="str">
        <f t="shared" si="104"/>
        <v>{"av-command": "stt-control", "data": {"listening": false}}</v>
      </c>
      <c r="I86" s="36" t="str">
        <f t="shared" si="101"/>
        <v/>
      </c>
      <c r="J86" s="36" t="str">
        <f t="shared" si="105"/>
        <v/>
      </c>
      <c r="K86" s="116" t="str">
        <f t="shared" si="102"/>
        <v/>
      </c>
      <c r="L86" s="36"/>
      <c r="M86" s="136" t="str">
        <f t="shared" si="109"/>
        <v>speak</v>
      </c>
      <c r="N86" s="116" t="str">
        <f t="shared" si="106"/>
        <v>{ "command": "speak", "entity": "Eliza", "data" : { "text" : "%text"}}</v>
      </c>
      <c r="O86" s="129" t="str">
        <f t="shared" si="80"/>
        <v>{ "command": "speak", "entity": "Eliza", "data" : { "text" : "Do you remember now?"}}</v>
      </c>
      <c r="P86" s="37" t="str">
        <f>IF(Y86&lt;&gt;"x","",j_opn&amp;"id"&amp;j_sep&amp;A86 &amp; j_nxt&amp;label_deepfake_name &amp; j_sep &amp; AH86 &amp; j_nxt&amp; "type" &amp; j_sep &amp; label_meat &amp; j_nxt&amp; "channel" &amp;j_sep&amp;Z86&amp;j_nxt&amp;label_role&amp;j_sep&amp;AE86&amp;j_nxt&amp;label_text&amp;j_sep&amp;AF86&amp;j_nxt&amp;label_gpt_emo&amp;j_sep&amp;BD86&amp;j_nxt&amp;label_gpt_tone&amp;j_sep&amp;BE86&amp;j_nxt&amp;label_animate&amp;j_sub_opn&amp;label_pre&amp;j_sep&amp;IF(do_anim=FALSE,"",BG86)&amp;j_nxt&amp;label_post&amp;j_sep&amp;IF(do_anim="","",BH86)&amp;j_nxt&amp;label_next_state&amp;j_sep&amp;BI86&amp;J_sub_cls&amp;label_azure&amp;j_sub_opn&amp;label_style&amp;j_sep&amp;BL86&amp;j_nxt&amp;label_degree&amp;J_sep_num&amp;BM86&amp;j_nxt_num&amp;label_pause&amp;J_sep_num&amp;BN86&amp;j_nxt_num&amp;label_pitch&amp;J_sep_num&amp;BO86&amp;j_nxt_num&amp;label_rate&amp;J_sep_num&amp;BP86&amp;j_nxt_num&amp;label_volume&amp;J_sep_num&amp;BQ86&amp;j_sub_cls_num&amp;label_emotion&amp;j_sub_opn&amp;label_sad&amp;J_sep_num&amp;BS86&amp;j_nxt_num&amp;label_joy&amp;J_sep_num&amp;BT86&amp;j_nxt_num&amp;label_fear&amp;J_sep_num&amp;BU86&amp;j_nxt_num&amp;label_disgust&amp;J_sep_num&amp;BV86&amp;j_nxt_num&amp;label_anger&amp;J_sep_num&amp;BW86&amp;j_sub_cls_num&amp;label_sg&amp;j_sub_opn&amp;label_mood&amp;j_sep&amp;BY86&amp;j_nxt&amp;label_scale&amp;J_sep_num&amp;BZ86&amp;j_end_num)</f>
        <v>{"id":"82","name":"remember","type":"meat","channel":"say","role":"mask","text":"Do you remember now?","gpt_emotion":"","gpt_tone":"","animate":{"pre":"","post":"","next_state":""},"azure":{"style":"","degree":0,"pause":0,"pitch":0,"rate":-8,"volume":0},"emotion":{"sadness":-1,"joy":-1,"fear":-1,"disgust":-1,"anger":-1},"sgcom":{"mood":"","scale":-1}}</v>
      </c>
      <c r="Q86" s="37" t="str">
        <f t="shared" si="96"/>
        <v>{"id":"82","name":"remember","type":"meat","channel":"say","role":"mask","text":"Do you remember now?","gpt_emotion":"","gpt_tone":"","animate":{"pre":"","post":"","next_state":""},"azure":{"style":"","degree":0,"pause":0,"pitch":0,"rate":-8,"volume":0},"emotion":{"sadness":-1,"joy":-1,"fear":-1,"disgust":-1,"anger":-1},"sgcom":{"mood":"","scale":-1}}</v>
      </c>
      <c r="R86" s="141"/>
      <c r="S86" s="148" t="str">
        <f t="shared" si="97"/>
        <v>mask_spoke</v>
      </c>
      <c r="T86" s="137" t="str">
        <f t="shared" si="98"/>
        <v>{"words-in" : { "entity" : "Eliza"} }</v>
      </c>
      <c r="U86" s="45"/>
      <c r="V86" s="35" t="str">
        <f>IF(OR(P86="",Y86=""),"",osc_exe_npmosc&amp;" --host "&amp;osc_ip&amp;":"&amp;osc_port_control&amp;" "&amp; osc_channel_meat_stub &amp; "  " &amp; j_qot &amp;X86 &amp; j_qot)</f>
        <v>/opt/homebrew/bin/osc --host 10.10.10.10:5918 /meat  "{#Qid#Q:#Q82#Q#C#Qname#Q:#Qremember#Q#C#Qtype#Q:#Qmeat#Q#C#Qchannel#Q:#Qsay#Q#C#Qrole#Q:#Qmask#Q#C#Qtext#Q:#QDo#Syou#Sremember#Snow?#Q#C#Qgpt_emotion#Q:#Q#Q#C#Qgpt_tone#Q:#Q#Q#C#Qanimate#Q:{#Qpre#Q:#Q#Q#C#Qpost#Q:#Q#Q#C#Qnext_state#Q:#Q#Q}#C#Qazure#Q:{#Qstyle#Q:#Q#Q#C#Qdegree#Q:0#C#Qpause#Q:0#C#Qpitch#Q:0#C#Qrate#Q:-8#C#Qvolume#Q:0}#C#Qemotion#Q:{#Qsadness#Q:-1#C#Qjoy#Q:-1#C#Qfear#Q:-1#C#Qdisgust#Q:-1#C#Qanger#Q:-1}#C#Qsgcom#Q:{#Qmood#Q:#Q#Q#C#Qscale#Q:-1}}"</v>
      </c>
      <c r="W86" s="36" t="str">
        <f t="shared" si="82"/>
        <v>/opt/homebrew/bin/sendosc 10.10.10.10 5918 say s {\"id\":\"82\",\"name\":\"remember\",\"type\":\"meat\",\"channel\":\"say\",\"role\":\"mask\",\"text\":\"Do\ you\ remember\ now\?\",\"gpt_emotion\":\"\",\"gpt_tone\":\"\",\"animate\":{\"pre\":\"\",\"post\":\"\",\"next_state\":\"\"\},\"azure\":{\"style\":\"\",\"degree\":0,\"pause\":0,\"pitch\":0,\"rate\":-8,\"volume\":0\},\"emotion\":{\"sadness\":-1,\"joy\":-1,\"fear\":-1,\"disgust\":-1,\"anger\":-1\},\"sgcom\":{\"mood\":\"\",\"scale\":-1\}\}</v>
      </c>
      <c r="X86" s="36" t="str">
        <f t="shared" si="83"/>
        <v>{#Qid#Q:#Q82#Q#C#Qname#Q:#Qremember#Q#C#Qtype#Q:#Qmeat#Q#C#Qchannel#Q:#Qsay#Q#C#Qrole#Q:#Qmask#Q#C#Qtext#Q:#QDo#Syou#Sremember#Snow?#Q#C#Qgpt_emotion#Q:#Q#Q#C#Qgpt_tone#Q:#Q#Q#C#Qanimate#Q:{#Qpre#Q:#Q#Q#C#Qpost#Q:#Q#Q#C#Qnext_state#Q:#Q#Q}#C#Qazure#Q:{#Qstyle#Q:#Q#Q#C#Qdegree#Q:0#C#Qpause#Q:0#C#Qpitch#Q:0#C#Qrate#Q:-8#C#Qvolume#Q:0}#C#Qemotion#Q:{#Qsadness#Q:-1#C#Qjoy#Q:-1#C#Qfear#Q:-1#C#Qdisgust#Q:-1#C#Qanger#Q:-1}#C#Qsgcom#Q:{#Qmood#Q:#Q#Q#C#Qscale#Q:-1}}</v>
      </c>
      <c r="Y86" s="40" t="s">
        <v>102</v>
      </c>
      <c r="Z86" s="36" t="str">
        <f t="shared" si="93"/>
        <v>say</v>
      </c>
      <c r="AA86" s="36"/>
      <c r="AB86" s="36" t="str" cm="1">
        <f t="array" ref="AB86">IF(C86="observe",channel_av_observe,"") &amp; IF(C86="register",channel_av_register,"")  &amp; IF(C86="listen",channel_av_listen,"")</f>
        <v/>
      </c>
      <c r="AC86" s="36" t="str">
        <f t="shared" si="99"/>
        <v/>
      </c>
      <c r="AD86" s="36" t="str">
        <f t="shared" si="100"/>
        <v/>
      </c>
      <c r="AE86" s="42" t="s">
        <v>103</v>
      </c>
      <c r="AF86" s="62" t="s">
        <v>240</v>
      </c>
      <c r="AG86" s="62"/>
      <c r="AH86" s="37" t="s">
        <v>241</v>
      </c>
      <c r="AI86" s="37"/>
      <c r="AJ86" s="114">
        <f>A86</f>
        <v>82</v>
      </c>
      <c r="AK86" s="56" t="str">
        <f t="shared" si="88"/>
        <v>082_remember</v>
      </c>
      <c r="AL86" s="37"/>
      <c r="AM86" s="133"/>
      <c r="AN86" s="37"/>
      <c r="AO86" s="37"/>
      <c r="AP86" s="37"/>
      <c r="AQ86" s="37"/>
      <c r="AR86" s="37"/>
      <c r="AS86" s="37"/>
      <c r="AT86" s="37"/>
      <c r="AU86" s="37"/>
      <c r="AV86" s="37"/>
      <c r="AW86" s="37"/>
      <c r="AX86" s="37"/>
      <c r="AY86" s="37"/>
      <c r="AZ86" s="37"/>
      <c r="BA86" s="37"/>
      <c r="BB86" s="37"/>
      <c r="BC86" s="41"/>
      <c r="BD86" s="42"/>
      <c r="BE86" s="42"/>
      <c r="BF86" s="41"/>
      <c r="BG86" s="108"/>
      <c r="BH86" s="108"/>
      <c r="BI86" s="108" t="s">
        <v>77</v>
      </c>
      <c r="BJ86" s="110"/>
      <c r="BK86" s="41"/>
      <c r="BL86" s="42"/>
      <c r="BM86" s="35">
        <v>0</v>
      </c>
      <c r="BN86" s="35">
        <v>0</v>
      </c>
      <c r="BO86" s="35">
        <v>0</v>
      </c>
      <c r="BP86" s="35">
        <v>-8</v>
      </c>
      <c r="BQ86" s="35">
        <v>0</v>
      </c>
      <c r="BR86" s="41"/>
      <c r="BS86" s="35">
        <v>-1</v>
      </c>
      <c r="BT86" s="35">
        <v>-1</v>
      </c>
      <c r="BU86" s="35">
        <v>-1</v>
      </c>
      <c r="BV86" s="35">
        <v>-1</v>
      </c>
      <c r="BW86" s="35">
        <v>-1</v>
      </c>
      <c r="BX86" s="41"/>
      <c r="BY86" s="34"/>
      <c r="BZ86" s="43" t="s">
        <v>165</v>
      </c>
      <c r="CA86" s="43" t="s">
        <v>165</v>
      </c>
      <c r="CB86" s="158" t="str">
        <f t="shared" si="107"/>
        <v>{"azure":{"style":"","degree":0,"pause":0,"pitch":0,"rate":-8,"volume":0},"emotion":{"sadness":-1,"joy":-1,"fear":-1,"disgust":-1,"anger":-1},"sgcom":{"mood":"","scale":-1}}</v>
      </c>
      <c r="AOE86" s="28"/>
    </row>
    <row r="87" spans="1:80 1071:1071" s="27" customFormat="1">
      <c r="A87" s="32">
        <f t="shared" si="108"/>
        <v>83</v>
      </c>
      <c r="B87" s="32"/>
      <c r="C87" s="32" t="s">
        <v>109</v>
      </c>
      <c r="D87" s="32"/>
      <c r="E87" s="34" t="s">
        <v>110</v>
      </c>
      <c r="F87" s="34" t="str">
        <f t="shared" si="79"/>
        <v/>
      </c>
      <c r="G87" s="34" t="str">
        <f t="shared" si="94"/>
        <v>unmute</v>
      </c>
      <c r="H87" s="116" t="str">
        <f t="shared" si="104"/>
        <v>{"av-command": "stt-control", "data": {"listening": true}}</v>
      </c>
      <c r="I87" s="36" t="str">
        <f t="shared" si="101"/>
        <v/>
      </c>
      <c r="J87" s="36" t="str">
        <f t="shared" si="105"/>
        <v/>
      </c>
      <c r="K87" s="116" t="str">
        <f t="shared" si="102"/>
        <v/>
      </c>
      <c r="L87" s="36"/>
      <c r="M87" s="136" t="str">
        <f t="shared" si="109"/>
        <v>mute</v>
      </c>
      <c r="N87" s="116" t="str">
        <f t="shared" si="106"/>
        <v>{ "command": "mute", "entity": "Eliza", "data" : null}</v>
      </c>
      <c r="O87" s="129" t="str">
        <f t="shared" si="80"/>
        <v>{ "command": "mute", "entity": "Eliza", "data" : null}</v>
      </c>
      <c r="P87" s="81"/>
      <c r="Q87" s="37"/>
      <c r="R87" s="141"/>
      <c r="S87" s="148" t="str">
        <f t="shared" si="97"/>
        <v>user_spoke</v>
      </c>
      <c r="T87" s="137" t="str">
        <f t="shared" si="98"/>
        <v>{"words-in" : { "entity" : "user"} }</v>
      </c>
      <c r="U87" s="45"/>
      <c r="V87" s="35" t="str">
        <f>IF(OR(P87="",Y87=""),"",osc_exe_npmosc&amp;" --host "&amp;osc_ip&amp;":"&amp;osc_port_control&amp;" "&amp;Z87&amp; "  " &amp; j_qot &amp;X87 &amp; j_qot)</f>
        <v/>
      </c>
      <c r="W87" s="36" t="str">
        <f t="shared" si="82"/>
        <v/>
      </c>
      <c r="X87" s="36" t="str">
        <f t="shared" si="83"/>
        <v/>
      </c>
      <c r="Y87" s="34"/>
      <c r="Z87" s="36" t="str">
        <f t="shared" si="93"/>
        <v/>
      </c>
      <c r="AA87" s="36"/>
      <c r="AB87" s="36" t="str" cm="1">
        <f t="array" ref="AB87">IF(C87="observe",channel_av_observe,"") &amp; IF(C87="register",channel_av_register,"")  &amp; IF(C87="listen",channel_av_listen,"")</f>
        <v>/listen</v>
      </c>
      <c r="AC87" s="36" t="str">
        <f t="shared" si="99"/>
        <v/>
      </c>
      <c r="AD87" s="36" t="str">
        <f t="shared" si="100"/>
        <v/>
      </c>
      <c r="AE87" s="42"/>
      <c r="AF87" s="46" t="s">
        <v>242</v>
      </c>
      <c r="AG87" s="46"/>
      <c r="AH87" s="47"/>
      <c r="AI87" s="47"/>
      <c r="AJ87" s="47"/>
      <c r="AK87" s="56" t="str">
        <f t="shared" si="88"/>
        <v/>
      </c>
      <c r="AL87" s="47"/>
      <c r="AM87" s="133"/>
      <c r="AN87" s="47"/>
      <c r="AO87" s="47"/>
      <c r="AP87" s="47"/>
      <c r="AQ87" s="47"/>
      <c r="AR87" s="47"/>
      <c r="AS87" s="47"/>
      <c r="AT87" s="47"/>
      <c r="AU87" s="47"/>
      <c r="AV87" s="47"/>
      <c r="AW87" s="47"/>
      <c r="AX87" s="47"/>
      <c r="AY87" s="47"/>
      <c r="AZ87" s="47"/>
      <c r="BA87" s="47"/>
      <c r="BB87" s="47"/>
      <c r="BC87" s="48"/>
      <c r="BD87" s="42"/>
      <c r="BE87" s="35"/>
      <c r="BF87" s="48"/>
      <c r="BG87" s="108"/>
      <c r="BH87" s="108"/>
      <c r="BI87" s="108" t="s">
        <v>77</v>
      </c>
      <c r="BJ87" s="110"/>
      <c r="BK87" s="48"/>
      <c r="BL87" s="47"/>
      <c r="BM87" s="35"/>
      <c r="BN87" s="35"/>
      <c r="BO87" s="35"/>
      <c r="BP87" s="35"/>
      <c r="BQ87" s="35"/>
      <c r="BR87" s="48"/>
      <c r="BS87" s="35"/>
      <c r="BT87" s="35"/>
      <c r="BU87" s="35"/>
      <c r="BV87" s="35"/>
      <c r="BW87" s="35"/>
      <c r="BX87" s="48"/>
      <c r="BY87" s="34"/>
      <c r="BZ87" s="43"/>
      <c r="CA87" s="43"/>
      <c r="CB87" s="158" t="str">
        <f t="shared" si="107"/>
        <v/>
      </c>
      <c r="AOE87" s="28"/>
    </row>
    <row r="88" spans="1:80 1071:1071" s="27" customFormat="1" ht="17" customHeight="1">
      <c r="A88" s="32">
        <f t="shared" si="108"/>
        <v>84</v>
      </c>
      <c r="B88" s="32"/>
      <c r="C88" s="32" t="s">
        <v>100</v>
      </c>
      <c r="D88" s="32"/>
      <c r="E88" s="34" t="s">
        <v>101</v>
      </c>
      <c r="F88" s="34" t="str">
        <f t="shared" si="79"/>
        <v/>
      </c>
      <c r="G88" s="34" t="str">
        <f t="shared" si="94"/>
        <v>mute</v>
      </c>
      <c r="H88" s="116" t="str">
        <f t="shared" si="104"/>
        <v>{"av-command": "stt-control", "data": {"listening": false}}</v>
      </c>
      <c r="I88" s="36" t="str">
        <f t="shared" si="101"/>
        <v/>
      </c>
      <c r="J88" s="36" t="str">
        <f t="shared" si="105"/>
        <v/>
      </c>
      <c r="K88" s="116" t="str">
        <f t="shared" si="102"/>
        <v/>
      </c>
      <c r="L88" s="36"/>
      <c r="M88" s="136" t="str">
        <f t="shared" si="109"/>
        <v>speak</v>
      </c>
      <c r="N88" s="116" t="str">
        <f t="shared" si="106"/>
        <v>{ "command": "speak", "entity": "Eliza", "data" : { "text" : "%text"}}</v>
      </c>
      <c r="O88" s="129" t="str">
        <f t="shared" si="80"/>
        <v>{ "command": "speak", "entity": "Eliza", "data" : { "text" : "You remind me of my mother. She has a very bad memory too."}}</v>
      </c>
      <c r="P88" s="37" t="str">
        <f>IF(Y88&lt;&gt;"x","",j_opn&amp;"id"&amp;j_sep&amp;A88 &amp; j_nxt&amp;label_deepfake_name &amp; j_sep &amp; AH88 &amp; j_nxt&amp; "type" &amp; j_sep &amp; label_meat &amp; j_nxt&amp; "channel" &amp;j_sep&amp;Z88&amp;j_nxt&amp;label_role&amp;j_sep&amp;AE88&amp;j_nxt&amp;label_text&amp;j_sep&amp;AF88&amp;j_nxt&amp;label_gpt_emo&amp;j_sep&amp;BD88&amp;j_nxt&amp;label_gpt_tone&amp;j_sep&amp;BE88&amp;j_nxt&amp;label_animate&amp;j_sub_opn&amp;label_pre&amp;j_sep&amp;IF(do_anim=FALSE,"",BG88)&amp;j_nxt&amp;label_post&amp;j_sep&amp;IF(do_anim="","",BH88)&amp;j_nxt&amp;label_next_state&amp;j_sep&amp;BI88&amp;J_sub_cls&amp;label_azure&amp;j_sub_opn&amp;label_style&amp;j_sep&amp;BL88&amp;j_nxt&amp;label_degree&amp;J_sep_num&amp;BM88&amp;j_nxt_num&amp;label_pause&amp;J_sep_num&amp;BN88&amp;j_nxt_num&amp;label_pitch&amp;J_sep_num&amp;BO88&amp;j_nxt_num&amp;label_rate&amp;J_sep_num&amp;BP88&amp;j_nxt_num&amp;label_volume&amp;J_sep_num&amp;BQ88&amp;j_sub_cls_num&amp;label_emotion&amp;j_sub_opn&amp;label_sad&amp;J_sep_num&amp;BS88&amp;j_nxt_num&amp;label_joy&amp;J_sep_num&amp;BT88&amp;j_nxt_num&amp;label_fear&amp;J_sep_num&amp;BU88&amp;j_nxt_num&amp;label_disgust&amp;J_sep_num&amp;BV88&amp;j_nxt_num&amp;label_anger&amp;J_sep_num&amp;BW88&amp;j_sub_cls_num&amp;label_sg&amp;j_sub_opn&amp;label_mood&amp;j_sep&amp;BY88&amp;j_nxt&amp;label_scale&amp;J_sep_num&amp;BZ88&amp;j_end_num)</f>
        <v>{"id":"84","name":"my_mother","type":"meat","channel":"say","role":"mask","text":"You remind me of my mother. She has a very bad memory too.","gpt_emotion":"","gpt_tone":"","animate":{"pre":"","post":"","next_state":""},"azure":{"style":"","degree":0,"pause":0,"pitch":0,"rate":-8,"volume":0},"emotion":{"sadness":-1,"joy":-1,"fear":-1,"disgust":-1,"anger":-1},"sgcom":{"mood":"","scale":-1}}</v>
      </c>
      <c r="Q88" s="37" t="str">
        <f t="shared" ref="Q88:Q101" si="110">IF(AND(C88&lt;&gt;"speak_gpt",C88&lt;&gt;"faketomask"),P88,"") &amp; IF(C88="maketext",j_opn&amp;"id"&amp;j_sep&amp;A88 &amp; j_nxt &amp; "type" &amp; j_sep &amp; label_meat &amp; j_nxt&amp; "channel" &amp;j_sep  &amp; Z88&amp; j_nxt&amp; "state" &amp; j_sep &amp; "think" &amp; j_qot &amp; j_cls,"")</f>
        <v>{"id":"84","name":"my_mother","type":"meat","channel":"say","role":"mask","text":"You remind me of my mother. She has a very bad memory too.","gpt_emotion":"","gpt_tone":"","animate":{"pre":"","post":"","next_state":""},"azure":{"style":"","degree":0,"pause":0,"pitch":0,"rate":-8,"volume":0},"emotion":{"sadness":-1,"joy":-1,"fear":-1,"disgust":-1,"anger":-1},"sgcom":{"mood":"","scale":-1}}</v>
      </c>
      <c r="R88" s="141"/>
      <c r="S88" s="148" t="str">
        <f t="shared" si="97"/>
        <v>mask_spoke</v>
      </c>
      <c r="T88" s="137" t="str">
        <f t="shared" si="98"/>
        <v>{"words-in" : { "entity" : "Eliza"} }</v>
      </c>
      <c r="U88" s="45"/>
      <c r="V88" s="35" t="str">
        <f>IF(OR(P88="",Y88=""),"",osc_exe_npmosc&amp;" --host "&amp;osc_ip&amp;":"&amp;osc_port_control&amp;" "&amp; osc_channel_meat_stub &amp; "  " &amp; j_qot &amp;X88 &amp; j_qot)</f>
        <v>/opt/homebrew/bin/osc --host 10.10.10.10:5918 /meat  "{#Qid#Q:#Q84#Q#C#Qname#Q:#Qmy_mother#Q#C#Qtype#Q:#Qmeat#Q#C#Qchannel#Q:#Qsay#Q#C#Qrole#Q:#Qmask#Q#C#Qtext#Q:#QYou#Sremind#Sme#Sof#Smy#Smother.#SShe#Shas#Sa#Svery#Sbad#Smemory#Stoo.#Q#C#Qgpt_emotion#Q:#Q#Q#C#Qgpt_tone#Q:#Q#Q#C#Qanimate#Q:{#Qpre#Q:#Q#Q#C#Qpost#Q:#Q#Q#C#Qnext_state#Q:#Q#Q}#C#Qazure#Q:{#Qstyle#Q:#Q#Q#C#Qdegree#Q:0#C#Qpause#Q:0#C#Qpitch#Q:0#C#Qrate#Q:-8#C#Qvolume#Q:0}#C#Qemotion#Q:{#Qsadness#Q:-1#C#Qjoy#Q:-1#C#Qfear#Q:-1#C#Qdisgust#Q:-1#C#Qanger#Q:-1}#C#Qsgcom#Q:{#Qmood#Q:#Q#Q#C#Qscale#Q:-1}}"</v>
      </c>
      <c r="W88" s="36" t="str">
        <f t="shared" si="82"/>
        <v>/opt/homebrew/bin/sendosc 10.10.10.10 5918 say s {\"id\":\"84\",\"name\":\"my_mother\",\"type\":\"meat\",\"channel\":\"say\",\"role\":\"mask\",\"text\":\"You\ remind\ me\ of\ my\ mother.\ She\ has\ a\ very\ bad\ memory\ too.\",\"gpt_emotion\":\"\",\"gpt_tone\":\"\",\"animate\":{\"pre\":\"\",\"post\":\"\",\"next_state\":\"\"\},\"azure\":{\"style\":\"\",\"degree\":0,\"pause\":0,\"pitch\":0,\"rate\":-8,\"volume\":0\},\"emotion\":{\"sadness\":-1,\"joy\":-1,\"fear\":-1,\"disgust\":-1,\"anger\":-1\},\"sgcom\":{\"mood\":\"\",\"scale\":-1\}\}</v>
      </c>
      <c r="X88" s="36" t="str">
        <f t="shared" si="83"/>
        <v>{#Qid#Q:#Q84#Q#C#Qname#Q:#Qmy_mother#Q#C#Qtype#Q:#Qmeat#Q#C#Qchannel#Q:#Qsay#Q#C#Qrole#Q:#Qmask#Q#C#Qtext#Q:#QYou#Sremind#Sme#Sof#Smy#Smother.#SShe#Shas#Sa#Svery#Sbad#Smemory#Stoo.#Q#C#Qgpt_emotion#Q:#Q#Q#C#Qgpt_tone#Q:#Q#Q#C#Qanimate#Q:{#Qpre#Q:#Q#Q#C#Qpost#Q:#Q#Q#C#Qnext_state#Q:#Q#Q}#C#Qazure#Q:{#Qstyle#Q:#Q#Q#C#Qdegree#Q:0#C#Qpause#Q:0#C#Qpitch#Q:0#C#Qrate#Q:-8#C#Qvolume#Q:0}#C#Qemotion#Q:{#Qsadness#Q:-1#C#Qjoy#Q:-1#C#Qfear#Q:-1#C#Qdisgust#Q:-1#C#Qanger#Q:-1}#C#Qsgcom#Q:{#Qmood#Q:#Q#Q#C#Qscale#Q:-1}}</v>
      </c>
      <c r="Y88" s="40" t="s">
        <v>102</v>
      </c>
      <c r="Z88" s="36" t="str">
        <f t="shared" si="93"/>
        <v>say</v>
      </c>
      <c r="AA88" s="36"/>
      <c r="AB88" s="36" t="str" cm="1">
        <f t="array" ref="AB88">IF(C88="observe",channel_av_observe,"") &amp; IF(C88="register",channel_av_register,"")  &amp; IF(C88="listen",channel_av_listen,"")</f>
        <v/>
      </c>
      <c r="AC88" s="36" t="str">
        <f t="shared" si="99"/>
        <v/>
      </c>
      <c r="AD88" s="36" t="str">
        <f t="shared" si="100"/>
        <v/>
      </c>
      <c r="AE88" s="42" t="s">
        <v>103</v>
      </c>
      <c r="AF88" s="62" t="s">
        <v>243</v>
      </c>
      <c r="AG88" s="62"/>
      <c r="AH88" s="37" t="s">
        <v>244</v>
      </c>
      <c r="AI88" s="37"/>
      <c r="AJ88" s="114">
        <f>A88</f>
        <v>84</v>
      </c>
      <c r="AK88" s="56" t="str">
        <f t="shared" si="88"/>
        <v>084_my_mother</v>
      </c>
      <c r="AL88" s="37"/>
      <c r="AM88" s="133"/>
      <c r="AN88" s="37"/>
      <c r="AO88" s="37"/>
      <c r="AP88" s="37"/>
      <c r="AQ88" s="37"/>
      <c r="AR88" s="37"/>
      <c r="AS88" s="37"/>
      <c r="AT88" s="37"/>
      <c r="AU88" s="37"/>
      <c r="AV88" s="37"/>
      <c r="AW88" s="37"/>
      <c r="AX88" s="37"/>
      <c r="AY88" s="37"/>
      <c r="AZ88" s="37"/>
      <c r="BA88" s="37"/>
      <c r="BB88" s="37"/>
      <c r="BC88" s="41"/>
      <c r="BD88" s="42"/>
      <c r="BE88" s="42"/>
      <c r="BF88" s="41"/>
      <c r="BG88" s="108"/>
      <c r="BH88" s="108"/>
      <c r="BI88" s="108" t="s">
        <v>77</v>
      </c>
      <c r="BJ88" s="110"/>
      <c r="BK88" s="41"/>
      <c r="BL88" s="42"/>
      <c r="BM88" s="35">
        <v>0</v>
      </c>
      <c r="BN88" s="35">
        <v>0</v>
      </c>
      <c r="BO88" s="35">
        <v>0</v>
      </c>
      <c r="BP88" s="35">
        <v>-8</v>
      </c>
      <c r="BQ88" s="35">
        <v>0</v>
      </c>
      <c r="BR88" s="41"/>
      <c r="BS88" s="35">
        <v>-1</v>
      </c>
      <c r="BT88" s="35">
        <v>-1</v>
      </c>
      <c r="BU88" s="35">
        <v>-1</v>
      </c>
      <c r="BV88" s="35">
        <v>-1</v>
      </c>
      <c r="BW88" s="35">
        <v>-1</v>
      </c>
      <c r="BX88" s="41"/>
      <c r="BY88" s="34"/>
      <c r="BZ88" s="43" t="s">
        <v>165</v>
      </c>
      <c r="CA88" s="43" t="s">
        <v>165</v>
      </c>
      <c r="CB88" s="158" t="str">
        <f t="shared" si="107"/>
        <v>{"azure":{"style":"","degree":0,"pause":0,"pitch":0,"rate":-8,"volume":0},"emotion":{"sadness":-1,"joy":-1,"fear":-1,"disgust":-1,"anger":-1},"sgcom":{"mood":"","scale":-1}}</v>
      </c>
      <c r="AOE88" s="28"/>
    </row>
    <row r="89" spans="1:80 1071:1071" s="27" customFormat="1">
      <c r="A89" s="32">
        <f t="shared" si="108"/>
        <v>85</v>
      </c>
      <c r="B89" s="32"/>
      <c r="C89" s="32" t="s">
        <v>122</v>
      </c>
      <c r="D89" s="32"/>
      <c r="E89" s="34" t="s">
        <v>123</v>
      </c>
      <c r="F89" s="34" t="str">
        <f t="shared" si="79"/>
        <v/>
      </c>
      <c r="G89" s="34" t="str">
        <f t="shared" si="94"/>
        <v>mute</v>
      </c>
      <c r="H89" s="116" t="str">
        <f t="shared" si="104"/>
        <v>{"av-command": "stt-control", "data": {"listening": false}}</v>
      </c>
      <c r="I89" s="36" t="str">
        <f t="shared" si="101"/>
        <v/>
      </c>
      <c r="J89" s="36" t="str">
        <f t="shared" si="105"/>
        <v/>
      </c>
      <c r="K89" s="116" t="str">
        <f t="shared" si="102"/>
        <v/>
      </c>
      <c r="L89" s="36"/>
      <c r="M89" s="136" t="str">
        <f t="shared" si="109"/>
        <v>unmute</v>
      </c>
      <c r="N89" s="116" t="str">
        <f t="shared" si="106"/>
        <v>{ "command": "unmute", "entity": "Eliza", "data" : {"prompt" : "%prompt" }}</v>
      </c>
      <c r="O89" s="129" t="str">
        <f t="shared" si="80"/>
        <v>{ "command": "unmute", "entity": "Eliza", "data" : {"prompt" : "Reply to the user with a pejorative observation about their clothing." }}</v>
      </c>
      <c r="P89" s="81"/>
      <c r="Q89" s="37" t="str">
        <f t="shared" si="110"/>
        <v>{"id":"85","type":"meat","channel":"","state":"think"}</v>
      </c>
      <c r="R89" s="141"/>
      <c r="S89" s="148" t="str">
        <f t="shared" si="97"/>
        <v>mask_generated</v>
      </c>
      <c r="T89" s="137" t="str">
        <f t="shared" si="98"/>
        <v>{"words-out" : { "entity" : "Eliza"} }</v>
      </c>
      <c r="U89" s="45"/>
      <c r="V89" s="35" t="str">
        <f>IF(OR(P89="",Y89=""),"",osc_exe_npmosc&amp;" --host "&amp;osc_ip&amp;":"&amp;osc_port_control&amp;" "&amp;Z89&amp; "  " &amp; j_qot &amp;X89 &amp; j_qot)</f>
        <v/>
      </c>
      <c r="W89" s="36" t="str">
        <f t="shared" si="82"/>
        <v/>
      </c>
      <c r="X89" s="36" t="str">
        <f t="shared" si="83"/>
        <v/>
      </c>
      <c r="Y89" s="34"/>
      <c r="Z89" s="36" t="str">
        <f t="shared" si="93"/>
        <v/>
      </c>
      <c r="AA89" s="36"/>
      <c r="AB89" s="36" t="str" cm="1">
        <f t="array" ref="AB89">IF(C89="observe",channel_av_observe,"") &amp; IF(C89="register",channel_av_register,"")  &amp; IF(C89="listen",channel_av_listen,"")</f>
        <v/>
      </c>
      <c r="AC89" s="36" t="str">
        <f t="shared" si="99"/>
        <v/>
      </c>
      <c r="AD89" s="36" t="str">
        <f t="shared" si="100"/>
        <v>/generate</v>
      </c>
      <c r="AE89" s="42"/>
      <c r="AF89" s="49" t="s">
        <v>245</v>
      </c>
      <c r="AG89" s="49" t="s">
        <v>246</v>
      </c>
      <c r="AH89" s="49"/>
      <c r="AI89" s="49"/>
      <c r="AJ89" s="49"/>
      <c r="AK89" s="56" t="str">
        <f t="shared" si="88"/>
        <v/>
      </c>
      <c r="AL89" s="49"/>
      <c r="AM89" s="133"/>
      <c r="AN89" s="49"/>
      <c r="AO89" s="49"/>
      <c r="AP89" s="49"/>
      <c r="AQ89" s="49"/>
      <c r="AR89" s="49"/>
      <c r="AS89" s="49"/>
      <c r="AT89" s="49"/>
      <c r="AU89" s="49"/>
      <c r="AV89" s="49"/>
      <c r="AW89" s="49"/>
      <c r="AX89" s="49"/>
      <c r="AY89" s="49"/>
      <c r="AZ89" s="49"/>
      <c r="BA89" s="49"/>
      <c r="BB89" s="49"/>
      <c r="BC89" s="50"/>
      <c r="BD89" s="42"/>
      <c r="BE89" s="35"/>
      <c r="BF89" s="50"/>
      <c r="BG89" s="108"/>
      <c r="BH89" s="108"/>
      <c r="BI89" s="108" t="s">
        <v>77</v>
      </c>
      <c r="BJ89" s="110"/>
      <c r="BK89" s="50"/>
      <c r="BL89" s="49"/>
      <c r="BM89" s="35"/>
      <c r="BN89" s="35"/>
      <c r="BO89" s="35"/>
      <c r="BP89" s="35"/>
      <c r="BQ89" s="35"/>
      <c r="BR89" s="50"/>
      <c r="BS89" s="35"/>
      <c r="BT89" s="35"/>
      <c r="BU89" s="35"/>
      <c r="BV89" s="35"/>
      <c r="BW89" s="35"/>
      <c r="BX89" s="50"/>
      <c r="BY89" s="34"/>
      <c r="BZ89" s="43"/>
      <c r="CA89" s="43"/>
      <c r="CB89" s="158" t="str">
        <f t="shared" si="107"/>
        <v/>
      </c>
      <c r="AOE89" s="28"/>
    </row>
    <row r="90" spans="1:80 1071:1071" s="27" customFormat="1">
      <c r="A90" s="32">
        <f t="shared" si="108"/>
        <v>86</v>
      </c>
      <c r="B90" s="32"/>
      <c r="C90" s="32" t="s">
        <v>126</v>
      </c>
      <c r="D90" s="32"/>
      <c r="E90" s="34" t="s">
        <v>101</v>
      </c>
      <c r="F90" s="34" t="str">
        <f t="shared" ref="F90:F122" si="111">IF(A90="listen","unmute","") &amp; IF(OR(A90="speak",A90="maketext"),"mute","")</f>
        <v/>
      </c>
      <c r="G90" s="34" t="str">
        <f t="shared" si="94"/>
        <v/>
      </c>
      <c r="H90" s="116" t="str">
        <f t="shared" si="104"/>
        <v/>
      </c>
      <c r="I90" s="36" t="str">
        <f t="shared" si="101"/>
        <v/>
      </c>
      <c r="J90" s="36" t="str">
        <f t="shared" si="105"/>
        <v/>
      </c>
      <c r="K90" s="116" t="str">
        <f t="shared" si="102"/>
        <v/>
      </c>
      <c r="L90" s="36"/>
      <c r="M90" s="136" t="str">
        <f t="shared" si="109"/>
        <v/>
      </c>
      <c r="N90" s="116" t="str">
        <f t="shared" si="106"/>
        <v/>
      </c>
      <c r="O90" s="129" t="str">
        <f t="shared" ref="O90:O122" si="112">SUBSTITUTE(SUBSTITUTE(N90,"%prompt",""&amp;AG90&amp;""),"%text",AF90)</f>
        <v/>
      </c>
      <c r="P90" s="37" t="str">
        <f>IF(Y90&lt;&gt;"x","",j_opn&amp;"id"&amp;j_sep&amp;A90 &amp; j_nxt&amp;label_deepfake_name &amp; j_sep &amp; AH90 &amp; j_nxt&amp; "type" &amp; j_sep &amp; label_meat &amp; j_nxt&amp; "channel" &amp;j_sep&amp;Z90&amp;j_nxt&amp;label_role&amp;j_sep&amp;AE90&amp;j_nxt&amp;label_text&amp;j_sep&amp;AF90&amp;j_nxt&amp;label_gpt_emo&amp;j_sep&amp;BD90&amp;j_nxt&amp;label_gpt_tone&amp;j_sep&amp;BE90&amp;j_nxt&amp;label_animate&amp;j_sub_opn&amp;label_pre&amp;j_sep&amp;IF(do_anim=FALSE,"",BG90)&amp;j_nxt&amp;label_post&amp;j_sep&amp;IF(do_anim="","",BH90)&amp;j_nxt&amp;label_next_state&amp;j_sep&amp;BI90&amp;J_sub_cls&amp;label_azure&amp;j_sub_opn&amp;label_style&amp;j_sep&amp;BL90&amp;j_nxt&amp;label_degree&amp;J_sep_num&amp;BM90&amp;j_nxt_num&amp;label_pause&amp;J_sep_num&amp;BN90&amp;j_nxt_num&amp;label_pitch&amp;J_sep_num&amp;BO90&amp;j_nxt_num&amp;label_rate&amp;J_sep_num&amp;BP90&amp;j_nxt_num&amp;label_volume&amp;J_sep_num&amp;BQ90&amp;j_sub_cls_num&amp;label_emotion&amp;j_sub_opn&amp;label_sad&amp;J_sep_num&amp;BS90&amp;j_nxt_num&amp;label_joy&amp;J_sep_num&amp;BT90&amp;j_nxt_num&amp;label_fear&amp;J_sep_num&amp;BU90&amp;j_nxt_num&amp;label_disgust&amp;J_sep_num&amp;BV90&amp;j_nxt_num&amp;label_anger&amp;J_sep_num&amp;BW90&amp;j_sub_cls_num&amp;label_sg&amp;j_sub_opn&amp;label_mood&amp;j_sep&amp;BY90&amp;j_nxt&amp;label_scale&amp;J_sep_num&amp;BZ90&amp;j_end_num)</f>
        <v>{"id":"86","name":"she_wears","type":"meat","channel":"say","role":"mask","text":"And she always wears these terrible blue shirts.","gpt_emotion":"","gpt_tone":"","animate":{"pre":"","post":"","next_state":""},"azure":{"style":"","degree":0,"pause":0,"pitch":0,"rate":0,"volume":0},"emotion":{"sadness":-1,"joy":-1,"fear":-1,"disgust":-1,"anger":-1},"sgcom":{"mood":"","scale":-1}}</v>
      </c>
      <c r="Q90" s="37" t="str">
        <f t="shared" si="110"/>
        <v/>
      </c>
      <c r="R90" s="141"/>
      <c r="S90" s="148" t="str">
        <f t="shared" si="97"/>
        <v>mask_spoke</v>
      </c>
      <c r="T90" s="137" t="str">
        <f t="shared" si="98"/>
        <v>{"words-in" : { "entity" : "Eliza"} }</v>
      </c>
      <c r="U90" s="45"/>
      <c r="V90" s="35" t="str">
        <f>IF(OR(P90="",Y90=""),"",osc_exe_npmosc&amp;" --host "&amp;osc_ip&amp;":"&amp;osc_port_control&amp;" "&amp; osc_channel_meat_stub &amp; "  " &amp; j_qot &amp;X90 &amp; j_qot)</f>
        <v>/opt/homebrew/bin/osc --host 10.10.10.10:5918 /meat  "{#Qid#Q:#Q86#Q#C#Qname#Q:#Qshe_wears#Q#C#Qtype#Q:#Qmeat#Q#C#Qchannel#Q:#Qsay#Q#C#Qrole#Q:#Qmask#Q#C#Qtext#Q:#QAnd#Sshe#Salways#Swears#Sthese#Sterrible#Sblue#Sshirts.#Q#C#Qgpt_emotion#Q:#Q#Q#C#Qgpt_tone#Q:#Q#Q#C#Qanimate#Q:{#Qpre#Q:#Q#Q#C#Qpost#Q:#Q#Q#C#Qnext_state#Q:#Q#Q}#C#Qazure#Q:{#Qstyle#Q:#Q#Q#C#Qdegree#Q:0#C#Qpause#Q:0#C#Qpitch#Q:0#C#Qrate#Q:0#C#Qvolume#Q:0}#C#Qemotion#Q:{#Qsadness#Q:-1#C#Qjoy#Q:-1#C#Qfear#Q:-1#C#Qdisgust#Q:-1#C#Qanger#Q:-1}#C#Qsgcom#Q:{#Qmood#Q:#Q#Q#C#Qscale#Q:-1}}"</v>
      </c>
      <c r="W90" s="36" t="str">
        <f t="shared" ref="W90:W122" si="113">IF(OR(P90="",Y90=""),"",osc_exe_sendosc&amp;" "&amp;osc_ip&amp;" "&amp; osc_port_control &amp;" "&amp;Z90&amp;" s "&amp;SUBSTITUTE(SUBSTITUTE(SUBSTITUTE(SUBSTITUTE(SUBSTITUTE(SUBSTITUTE(SUBSTITUTE(P90,"""","\"&amp;"""")," ","\ "),"}","\}"),"?","\?"),"(","\("),")","\)"),"|","\|"))</f>
        <v>/opt/homebrew/bin/sendosc 10.10.10.10 5918 say s {\"id\":\"86\",\"name\":\"she_wears\",\"type\":\"meat\",\"channel\":\"say\",\"role\":\"mask\",\"text\":\"And\ she\ always\ wears\ these\ terrible\ blue\ shirts.\",\"gpt_emotion\":\"\",\"gpt_tone\":\"\",\"animate\":{\"pre\":\"\",\"post\":\"\",\"next_state\":\"\"\},\"azure\":{\"style\":\"\",\"degree\":0,\"pause\":0,\"pitch\":0,\"rate\":0,\"volume\":0\},\"emotion\":{\"sadness\":-1,\"joy\":-1,\"fear\":-1,\"disgust\":-1,\"anger\":-1\},\"sgcom\":{\"mood\":\"\",\"scale\":-1\}\}</v>
      </c>
      <c r="X90" s="36" t="str">
        <f t="shared" ref="X90:X122" si="114">IF(Y90&lt;&gt;"x","",IF(P90="","",SUBSTITUTE(SUBSTITUTE(SUBSTITUTE(SUBSTITUTE(P90,"""","#Q")," ","#S"),",","#C"),"'","#A")))</f>
        <v>{#Qid#Q:#Q86#Q#C#Qname#Q:#Qshe_wears#Q#C#Qtype#Q:#Qmeat#Q#C#Qchannel#Q:#Qsay#Q#C#Qrole#Q:#Qmask#Q#C#Qtext#Q:#QAnd#Sshe#Salways#Swears#Sthese#Sterrible#Sblue#Sshirts.#Q#C#Qgpt_emotion#Q:#Q#Q#C#Qgpt_tone#Q:#Q#Q#C#Qanimate#Q:{#Qpre#Q:#Q#Q#C#Qpost#Q:#Q#Q#C#Qnext_state#Q:#Q#Q}#C#Qazure#Q:{#Qstyle#Q:#Q#Q#C#Qdegree#Q:0#C#Qpause#Q:0#C#Qpitch#Q:0#C#Qrate#Q:0#C#Qvolume#Q:0}#C#Qemotion#Q:{#Qsadness#Q:-1#C#Qjoy#Q:-1#C#Qfear#Q:-1#C#Qdisgust#Q:-1#C#Qanger#Q:-1}#C#Qsgcom#Q:{#Qmood#Q:#Q#Q#C#Qscale#Q:-1}}</v>
      </c>
      <c r="Y90" s="40" t="s">
        <v>102</v>
      </c>
      <c r="Z90" s="36" t="str">
        <f t="shared" si="93"/>
        <v>say</v>
      </c>
      <c r="AA90" s="36"/>
      <c r="AB90" s="36" t="str" cm="1">
        <f t="array" ref="AB90">IF(C90="observe",channel_av_observe,"") &amp; IF(C90="register",channel_av_register,"")  &amp; IF(C90="listen",channel_av_listen,"")</f>
        <v/>
      </c>
      <c r="AC90" s="36" t="str">
        <f t="shared" si="99"/>
        <v/>
      </c>
      <c r="AD90" s="36" t="str">
        <f t="shared" si="100"/>
        <v/>
      </c>
      <c r="AE90" s="42" t="s">
        <v>103</v>
      </c>
      <c r="AF90" s="65" t="s">
        <v>247</v>
      </c>
      <c r="AG90" s="65"/>
      <c r="AH90" s="66" t="s">
        <v>248</v>
      </c>
      <c r="AI90" s="66"/>
      <c r="AJ90" s="114">
        <f>A90</f>
        <v>86</v>
      </c>
      <c r="AK90" s="56" t="str">
        <f t="shared" si="88"/>
        <v>086_she_wears</v>
      </c>
      <c r="AL90" s="66"/>
      <c r="AM90" s="133"/>
      <c r="AN90" s="66"/>
      <c r="AO90" s="66"/>
      <c r="AP90" s="66"/>
      <c r="AQ90" s="66"/>
      <c r="AR90" s="66"/>
      <c r="AS90" s="66"/>
      <c r="AT90" s="66"/>
      <c r="AU90" s="66"/>
      <c r="AV90" s="66"/>
      <c r="AW90" s="66"/>
      <c r="AX90" s="66"/>
      <c r="AY90" s="66"/>
      <c r="AZ90" s="66"/>
      <c r="BA90" s="66"/>
      <c r="BB90" s="66"/>
      <c r="BC90" s="67"/>
      <c r="BD90" s="42"/>
      <c r="BE90" s="42"/>
      <c r="BF90" s="67"/>
      <c r="BG90" s="108"/>
      <c r="BH90" s="108"/>
      <c r="BI90" s="108" t="s">
        <v>77</v>
      </c>
      <c r="BJ90" s="110"/>
      <c r="BK90" s="67"/>
      <c r="BL90" s="42"/>
      <c r="BM90" s="35">
        <v>0</v>
      </c>
      <c r="BN90" s="35">
        <v>0</v>
      </c>
      <c r="BO90" s="35">
        <v>0</v>
      </c>
      <c r="BP90" s="35">
        <v>0</v>
      </c>
      <c r="BQ90" s="35">
        <v>0</v>
      </c>
      <c r="BR90" s="67"/>
      <c r="BS90" s="35">
        <v>-1</v>
      </c>
      <c r="BT90" s="35">
        <v>-1</v>
      </c>
      <c r="BU90" s="35">
        <v>-1</v>
      </c>
      <c r="BV90" s="35">
        <v>-1</v>
      </c>
      <c r="BW90" s="35">
        <v>-1</v>
      </c>
      <c r="BX90" s="67"/>
      <c r="BY90" s="34"/>
      <c r="BZ90" s="43" t="s">
        <v>165</v>
      </c>
      <c r="CA90" s="43" t="s">
        <v>165</v>
      </c>
      <c r="CB90" s="158" t="str">
        <f t="shared" si="107"/>
        <v>{"azure":{"style":"","degree":0,"pause":0,"pitch":0,"rate":0,"volume":0},"emotion":{"sadness":-1,"joy":-1,"fear":-1,"disgust":-1,"anger":-1},"sgcom":{"mood":"","scale":-1}}</v>
      </c>
      <c r="AOE90" s="28"/>
    </row>
    <row r="91" spans="1:80 1071:1071" s="27" customFormat="1">
      <c r="A91" s="32">
        <f t="shared" si="108"/>
        <v>87</v>
      </c>
      <c r="B91" s="32"/>
      <c r="C91" s="32" t="s">
        <v>100</v>
      </c>
      <c r="D91" s="32"/>
      <c r="E91" s="34" t="s">
        <v>101</v>
      </c>
      <c r="F91" s="34" t="str">
        <f t="shared" si="111"/>
        <v/>
      </c>
      <c r="G91" s="34" t="str">
        <f t="shared" si="94"/>
        <v>mute</v>
      </c>
      <c r="H91" s="116" t="str">
        <f t="shared" si="104"/>
        <v>{"av-command": "stt-control", "data": {"listening": false}}</v>
      </c>
      <c r="I91" s="36" t="str">
        <f t="shared" si="101"/>
        <v/>
      </c>
      <c r="J91" s="36" t="str">
        <f t="shared" si="105"/>
        <v/>
      </c>
      <c r="K91" s="116" t="str">
        <f t="shared" si="102"/>
        <v/>
      </c>
      <c r="L91" s="36"/>
      <c r="M91" s="136" t="str">
        <f t="shared" si="109"/>
        <v>speak</v>
      </c>
      <c r="N91" s="116" t="str">
        <f t="shared" si="106"/>
        <v>{ "command": "speak", "entity": "Eliza", "data" : { "text" : "%text"}}</v>
      </c>
      <c r="O91" s="129" t="str">
        <f t="shared" si="112"/>
        <v>{ "command": "speak", "entity": "Eliza", "data" : { "text" : "Just like [prosody pitch=50 rate=-50] you [/prosody][prosody pitch=-10]do[/prosody]."}}</v>
      </c>
      <c r="P91" s="37" t="str">
        <f>IF(Y91&lt;&gt;"x","",j_opn&amp;"id"&amp;j_sep&amp;A91 &amp; j_nxt&amp;label_deepfake_name &amp; j_sep &amp; AH91 &amp; j_nxt&amp; "type" &amp; j_sep &amp; label_meat &amp; j_nxt&amp; "channel" &amp;j_sep&amp;Z91&amp;j_nxt&amp;label_role&amp;j_sep&amp;AE91&amp;j_nxt&amp;label_text&amp;j_sep&amp;AF91&amp;j_nxt&amp;label_gpt_emo&amp;j_sep&amp;BD91&amp;j_nxt&amp;label_gpt_tone&amp;j_sep&amp;BE91&amp;j_nxt&amp;label_animate&amp;j_sub_opn&amp;label_pre&amp;j_sep&amp;IF(do_anim=FALSE,"",BG91)&amp;j_nxt&amp;label_post&amp;j_sep&amp;IF(do_anim="","",BH91)&amp;j_nxt&amp;label_next_state&amp;j_sep&amp;BI91&amp;J_sub_cls&amp;label_azure&amp;j_sub_opn&amp;label_style&amp;j_sep&amp;BL91&amp;j_nxt&amp;label_degree&amp;J_sep_num&amp;BM91&amp;j_nxt_num&amp;label_pause&amp;J_sep_num&amp;BN91&amp;j_nxt_num&amp;label_pitch&amp;J_sep_num&amp;BO91&amp;j_nxt_num&amp;label_rate&amp;J_sep_num&amp;BP91&amp;j_nxt_num&amp;label_volume&amp;J_sep_num&amp;BQ91&amp;j_sub_cls_num&amp;label_emotion&amp;j_sub_opn&amp;label_sad&amp;J_sep_num&amp;BS91&amp;j_nxt_num&amp;label_joy&amp;J_sep_num&amp;BT91&amp;j_nxt_num&amp;label_fear&amp;J_sep_num&amp;BU91&amp;j_nxt_num&amp;label_disgust&amp;J_sep_num&amp;BV91&amp;j_nxt_num&amp;label_anger&amp;J_sep_num&amp;BW91&amp;j_sub_cls_num&amp;label_sg&amp;j_sub_opn&amp;label_mood&amp;j_sep&amp;BY91&amp;j_nxt&amp;label_scale&amp;J_sep_num&amp;BZ91&amp;j_end_num)</f>
        <v>{"id":"87","name":"like_you_do","type":"meat","channel":"say","role":"mask","text":"Just like [prosody pitch=50 rate=-50] you [/prosody][prosody pitch=-10]do[/prosody].","gpt_emotion":"","gpt_tone":"","animate":{"pre":"shirtcheck","post":"","next_state":""},"azure":{"style":"","degree":0,"pause":0,"pitch":0,"rate":0,"volume":0},"emotion":{"sadness":-1,"joy":-1,"fear":-1,"disgust":-1,"anger":-1},"sgcom":{"mood":"","scale":-1}}</v>
      </c>
      <c r="Q91" s="37" t="str">
        <f t="shared" si="110"/>
        <v>{"id":"87","name":"like_you_do","type":"meat","channel":"say","role":"mask","text":"Just like [prosody pitch=50 rate=-50] you [/prosody][prosody pitch=-10]do[/prosody].","gpt_emotion":"","gpt_tone":"","animate":{"pre":"shirtcheck","post":"","next_state":""},"azure":{"style":"","degree":0,"pause":0,"pitch":0,"rate":0,"volume":0},"emotion":{"sadness":-1,"joy":-1,"fear":-1,"disgust":-1,"anger":-1},"sgcom":{"mood":"","scale":-1}}</v>
      </c>
      <c r="R91" s="141"/>
      <c r="S91" s="148" t="str">
        <f t="shared" si="97"/>
        <v>mask_spoke</v>
      </c>
      <c r="T91" s="137" t="str">
        <f t="shared" si="98"/>
        <v>{"words-in" : { "entity" : "Eliza"} }</v>
      </c>
      <c r="U91" s="45"/>
      <c r="V91" s="35" t="str">
        <f>IF(OR(P91="",Y91=""),"",osc_exe_npmosc&amp;" --host "&amp;osc_ip&amp;":"&amp;osc_port_control&amp;" "&amp; osc_channel_meat_stub &amp; "  " &amp; j_qot &amp;X91 &amp; j_qot)</f>
        <v>/opt/homebrew/bin/osc --host 10.10.10.10:5918 /meat  "{#Qid#Q:#Q87#Q#C#Qname#Q:#Qlike_you_do#Q#C#Qtype#Q:#Qmeat#Q#C#Qchannel#Q:#Qsay#Q#C#Qrole#Q:#Qmask#Q#C#Qtext#Q:#QJust#Slike#S[prosody#Spitch=50#Srate=-50]#Syou#S[/prosody][prosody#Spitch=-10]do[/prosody].#Q#C#Qgpt_emotion#Q:#Q#Q#C#Qgpt_tone#Q:#Q#Q#C#Qanimate#Q:{#Qpre#Q:#Qshirtcheck#Q#C#Qpost#Q:#Q#Q#C#Qnext_state#Q:#Q#Q}#C#Qazure#Q:{#Qstyle#Q:#Q#Q#C#Qdegree#Q:0#C#Qpause#Q:0#C#Qpitch#Q:0#C#Qrate#Q:0#C#Qvolume#Q:0}#C#Qemotion#Q:{#Qsadness#Q:-1#C#Qjoy#Q:-1#C#Qfear#Q:-1#C#Qdisgust#Q:-1#C#Qanger#Q:-1}#C#Qsgcom#Q:{#Qmood#Q:#Q#Q#C#Qscale#Q:-1}}"</v>
      </c>
      <c r="W91" s="36" t="str">
        <f t="shared" si="113"/>
        <v>/opt/homebrew/bin/sendosc 10.10.10.10 5918 say s {\"id\":\"87\",\"name\":\"like_you_do\",\"type\":\"meat\",\"channel\":\"say\",\"role\":\"mask\",\"text\":\"Just\ like\ [prosody\ pitch=50\ rate=-50]\ you\ [/prosody][prosody\ pitch=-10]do[/prosody].\",\"gpt_emotion\":\"\",\"gpt_tone\":\"\",\"animate\":{\"pre\":\"shirtcheck\",\"post\":\"\",\"next_state\":\"\"\},\"azure\":{\"style\":\"\",\"degree\":0,\"pause\":0,\"pitch\":0,\"rate\":0,\"volume\":0\},\"emotion\":{\"sadness\":-1,\"joy\":-1,\"fear\":-1,\"disgust\":-1,\"anger\":-1\},\"sgcom\":{\"mood\":\"\",\"scale\":-1\}\}</v>
      </c>
      <c r="X91" s="36" t="str">
        <f t="shared" si="114"/>
        <v>{#Qid#Q:#Q87#Q#C#Qname#Q:#Qlike_you_do#Q#C#Qtype#Q:#Qmeat#Q#C#Qchannel#Q:#Qsay#Q#C#Qrole#Q:#Qmask#Q#C#Qtext#Q:#QJust#Slike#S[prosody#Spitch=50#Srate=-50]#Syou#S[/prosody][prosody#Spitch=-10]do[/prosody].#Q#C#Qgpt_emotion#Q:#Q#Q#C#Qgpt_tone#Q:#Q#Q#C#Qanimate#Q:{#Qpre#Q:#Qshirtcheck#Q#C#Qpost#Q:#Q#Q#C#Qnext_state#Q:#Q#Q}#C#Qazure#Q:{#Qstyle#Q:#Q#Q#C#Qdegree#Q:0#C#Qpause#Q:0#C#Qpitch#Q:0#C#Qrate#Q:0#C#Qvolume#Q:0}#C#Qemotion#Q:{#Qsadness#Q:-1#C#Qjoy#Q:-1#C#Qfear#Q:-1#C#Qdisgust#Q:-1#C#Qanger#Q:-1}#C#Qsgcom#Q:{#Qmood#Q:#Q#Q#C#Qscale#Q:-1}}</v>
      </c>
      <c r="Y91" s="40" t="s">
        <v>102</v>
      </c>
      <c r="Z91" s="36" t="str">
        <f t="shared" si="93"/>
        <v>say</v>
      </c>
      <c r="AA91" s="36"/>
      <c r="AB91" s="36" t="str" cm="1">
        <f t="array" ref="AB91">IF(C91="observe",channel_av_observe,"") &amp; IF(C91="register",channel_av_register,"")  &amp; IF(C91="listen",channel_av_listen,"")</f>
        <v/>
      </c>
      <c r="AC91" s="36" t="str">
        <f t="shared" si="99"/>
        <v/>
      </c>
      <c r="AD91" s="36" t="str">
        <f t="shared" si="100"/>
        <v/>
      </c>
      <c r="AE91" s="42" t="s">
        <v>103</v>
      </c>
      <c r="AF91" s="37" t="s">
        <v>249</v>
      </c>
      <c r="AG91" s="37"/>
      <c r="AH91" s="37" t="s">
        <v>250</v>
      </c>
      <c r="AI91" s="37"/>
      <c r="AJ91" s="114">
        <f>A91</f>
        <v>87</v>
      </c>
      <c r="AK91" s="56" t="str">
        <f t="shared" si="88"/>
        <v>087_like_you_do</v>
      </c>
      <c r="AL91" s="37"/>
      <c r="AM91" s="133"/>
      <c r="AN91" s="37"/>
      <c r="AO91" s="37"/>
      <c r="AP91" s="37"/>
      <c r="AQ91" s="37"/>
      <c r="AR91" s="37"/>
      <c r="AS91" s="37"/>
      <c r="AT91" s="37"/>
      <c r="AU91" s="37"/>
      <c r="AV91" s="37"/>
      <c r="AW91" s="37"/>
      <c r="AX91" s="37"/>
      <c r="AY91" s="37"/>
      <c r="AZ91" s="37"/>
      <c r="BA91" s="37"/>
      <c r="BB91" s="37"/>
      <c r="BC91" s="41"/>
      <c r="BD91" s="42"/>
      <c r="BE91" s="42"/>
      <c r="BF91" s="41"/>
      <c r="BG91" s="104" t="s">
        <v>251</v>
      </c>
      <c r="BH91" s="104"/>
      <c r="BI91" s="108" t="s">
        <v>77</v>
      </c>
      <c r="BJ91" s="110"/>
      <c r="BK91" s="41"/>
      <c r="BL91" s="42"/>
      <c r="BM91" s="35">
        <v>0</v>
      </c>
      <c r="BN91" s="35">
        <v>0</v>
      </c>
      <c r="BO91" s="35">
        <v>0</v>
      </c>
      <c r="BP91" s="35">
        <v>0</v>
      </c>
      <c r="BQ91" s="35">
        <v>0</v>
      </c>
      <c r="BR91" s="41"/>
      <c r="BS91" s="35">
        <v>-1</v>
      </c>
      <c r="BT91" s="35">
        <v>-1</v>
      </c>
      <c r="BU91" s="35">
        <v>-1</v>
      </c>
      <c r="BV91" s="35">
        <v>-1</v>
      </c>
      <c r="BW91" s="35">
        <v>-1</v>
      </c>
      <c r="BX91" s="41"/>
      <c r="BY91" s="34"/>
      <c r="BZ91" s="43" t="s">
        <v>165</v>
      </c>
      <c r="CA91" s="43" t="s">
        <v>165</v>
      </c>
      <c r="CB91" s="158" t="str">
        <f t="shared" si="107"/>
        <v>{"azure":{"style":"","degree":0,"pause":0,"pitch":0,"rate":0,"volume":0},"emotion":{"sadness":-1,"joy":-1,"fear":-1,"disgust":-1,"anger":-1},"sgcom":{"mood":"","scale":-1}}</v>
      </c>
      <c r="AOE91" s="28"/>
    </row>
    <row r="92" spans="1:80 1071:1071" s="27" customFormat="1">
      <c r="A92" s="32">
        <f t="shared" si="108"/>
        <v>88</v>
      </c>
      <c r="B92" s="32"/>
      <c r="C92" s="32" t="s">
        <v>109</v>
      </c>
      <c r="D92" s="32"/>
      <c r="E92" s="34" t="s">
        <v>110</v>
      </c>
      <c r="F92" s="34" t="str">
        <f t="shared" si="111"/>
        <v/>
      </c>
      <c r="G92" s="34" t="str">
        <f t="shared" si="94"/>
        <v>unmute</v>
      </c>
      <c r="H92" s="116" t="str">
        <f t="shared" si="104"/>
        <v>{"av-command": "stt-control", "data": {"listening": true}}</v>
      </c>
      <c r="I92" s="36" t="str">
        <f t="shared" si="101"/>
        <v/>
      </c>
      <c r="J92" s="36" t="str">
        <f t="shared" si="105"/>
        <v/>
      </c>
      <c r="K92" s="116" t="str">
        <f t="shared" si="102"/>
        <v/>
      </c>
      <c r="L92" s="36"/>
      <c r="M92" s="136" t="str">
        <f t="shared" si="109"/>
        <v>mute</v>
      </c>
      <c r="N92" s="116" t="str">
        <f t="shared" si="106"/>
        <v>{ "command": "mute", "entity": "Eliza", "data" : null}</v>
      </c>
      <c r="O92" s="129" t="str">
        <f t="shared" si="112"/>
        <v>{ "command": "mute", "entity": "Eliza", "data" : null}</v>
      </c>
      <c r="P92" s="81"/>
      <c r="Q92" s="37" t="str">
        <f t="shared" si="110"/>
        <v/>
      </c>
      <c r="R92" s="141"/>
      <c r="S92" t="s">
        <v>252</v>
      </c>
      <c r="T92" s="137" t="str">
        <f t="shared" si="98"/>
        <v>{"av" : {"av-command": "vision-pose-update", "data": {"pose_state": "Standing"}} }</v>
      </c>
      <c r="U92" s="45"/>
      <c r="V92" s="35" t="str">
        <f>IF(OR(P92="",Y92=""),"",osc_exe_npmosc&amp;" --host "&amp;osc_ip&amp;":"&amp;osc_port_control&amp;" "&amp;Z92&amp; "  " &amp; j_qot &amp;X92 &amp; j_qot)</f>
        <v/>
      </c>
      <c r="W92" s="36" t="str">
        <f t="shared" si="113"/>
        <v/>
      </c>
      <c r="X92" s="36" t="str">
        <f t="shared" si="114"/>
        <v/>
      </c>
      <c r="Y92" s="34"/>
      <c r="Z92" s="36" t="str">
        <f t="shared" si="93"/>
        <v/>
      </c>
      <c r="AA92" s="36"/>
      <c r="AB92" s="36" t="str" cm="1">
        <f t="array" ref="AB92">IF(C92="observe",channel_av_observe,"") &amp; IF(C92="register",channel_av_register,"")  &amp; IF(C92="listen",channel_av_listen,"")</f>
        <v>/listen</v>
      </c>
      <c r="AC92" s="36" t="str">
        <f t="shared" si="99"/>
        <v/>
      </c>
      <c r="AD92" s="36" t="str">
        <f t="shared" si="100"/>
        <v/>
      </c>
      <c r="AE92" s="42"/>
      <c r="AF92" s="46" t="s">
        <v>253</v>
      </c>
      <c r="AG92" s="46"/>
      <c r="AH92" s="47"/>
      <c r="AI92" s="47"/>
      <c r="AJ92" s="47"/>
      <c r="AK92" s="56" t="str">
        <f t="shared" si="88"/>
        <v/>
      </c>
      <c r="AL92" s="47"/>
      <c r="AM92" s="133"/>
      <c r="AN92" s="47"/>
      <c r="AO92" s="47"/>
      <c r="AP92" s="47"/>
      <c r="AQ92" s="47"/>
      <c r="AR92" s="47"/>
      <c r="AS92" s="47"/>
      <c r="AT92" s="47"/>
      <c r="AU92" s="47"/>
      <c r="AV92" s="47"/>
      <c r="AW92" s="47"/>
      <c r="AX92" s="47"/>
      <c r="AY92" s="47"/>
      <c r="AZ92" s="47"/>
      <c r="BA92" s="47"/>
      <c r="BB92" s="47"/>
      <c r="BC92" s="48"/>
      <c r="BD92" s="42"/>
      <c r="BE92" s="35"/>
      <c r="BF92" s="48"/>
      <c r="BG92" s="108"/>
      <c r="BH92" s="108"/>
      <c r="BI92" s="108" t="s">
        <v>77</v>
      </c>
      <c r="BJ92" s="110"/>
      <c r="BK92" s="48"/>
      <c r="BL92" s="47"/>
      <c r="BM92" s="35"/>
      <c r="BN92" s="35"/>
      <c r="BO92" s="35"/>
      <c r="BP92" s="35"/>
      <c r="BQ92" s="35"/>
      <c r="BR92" s="48"/>
      <c r="BS92" s="35"/>
      <c r="BT92" s="35"/>
      <c r="BU92" s="35"/>
      <c r="BV92" s="35"/>
      <c r="BW92" s="35"/>
      <c r="BX92" s="48"/>
      <c r="BY92" s="34"/>
      <c r="BZ92" s="43"/>
      <c r="CA92" s="43"/>
      <c r="CB92" s="158" t="str">
        <f t="shared" si="107"/>
        <v/>
      </c>
      <c r="AOE92" s="28"/>
    </row>
    <row r="93" spans="1:80 1071:1071" s="27" customFormat="1">
      <c r="A93" s="32">
        <f t="shared" si="108"/>
        <v>89</v>
      </c>
      <c r="B93" s="32"/>
      <c r="C93" s="32" t="s">
        <v>254</v>
      </c>
      <c r="D93" s="32"/>
      <c r="E93" s="34" t="s">
        <v>255</v>
      </c>
      <c r="F93" s="34" t="str">
        <f t="shared" si="111"/>
        <v/>
      </c>
      <c r="G93" s="34" t="str">
        <f t="shared" si="94"/>
        <v/>
      </c>
      <c r="H93" s="116" t="str">
        <f t="shared" si="104"/>
        <v/>
      </c>
      <c r="I93" s="36" t="str">
        <f t="shared" si="101"/>
        <v/>
      </c>
      <c r="J93" s="36" t="str">
        <f t="shared" si="105"/>
        <v/>
      </c>
      <c r="K93" s="116" t="str">
        <f t="shared" si="102"/>
        <v/>
      </c>
      <c r="L93" s="36"/>
      <c r="M93" s="136" t="str">
        <f t="shared" si="109"/>
        <v/>
      </c>
      <c r="N93" s="116" t="str">
        <f t="shared" si="106"/>
        <v/>
      </c>
      <c r="O93" s="129" t="str">
        <f t="shared" si="112"/>
        <v/>
      </c>
      <c r="P93" s="81"/>
      <c r="Q93" s="37" t="str">
        <f t="shared" si="110"/>
        <v/>
      </c>
      <c r="R93" s="141">
        <v>1</v>
      </c>
      <c r="S93" s="148">
        <f t="shared" ref="S93:S121" si="115">IF(R93&lt;&gt;"", R93, IF(OR(C93="speak",C93="speak_gpt",C93="play"),trigger_mask_spoke,"") &amp; IF(C93="listen",trigger_user_spoke,"") &amp; IF(C93="maketext","mask_generated","") &amp; IF(C93="screen","clone_spoke","") )</f>
        <v>1</v>
      </c>
      <c r="T93" s="137">
        <f t="shared" si="98"/>
        <v>1</v>
      </c>
      <c r="U93" s="45"/>
      <c r="V93" s="35" t="str">
        <f>IF(OR(P93="",Y93=""),"",osc_exe_npmosc&amp;" --host "&amp;osc_ip&amp;":"&amp;osc_port_control&amp;" "&amp;Z93&amp; "  " &amp; j_qot &amp;X93 &amp; j_qot)</f>
        <v/>
      </c>
      <c r="W93" s="36" t="str">
        <f t="shared" si="113"/>
        <v/>
      </c>
      <c r="X93" s="36" t="str">
        <f t="shared" si="114"/>
        <v/>
      </c>
      <c r="Y93" s="34"/>
      <c r="Z93" s="36" t="str">
        <f t="shared" si="93"/>
        <v/>
      </c>
      <c r="AA93" s="36"/>
      <c r="AB93" s="36" t="str" cm="1">
        <f t="array" ref="AB93">IF(C93="observe",channel_av_observe,"") &amp; IF(C93="register",channel_av_register,"")  &amp; IF(C93="listen",channel_av_listen,"")</f>
        <v/>
      </c>
      <c r="AC93" s="36" t="str">
        <f t="shared" si="99"/>
        <v/>
      </c>
      <c r="AD93" s="36" t="str">
        <f t="shared" si="100"/>
        <v/>
      </c>
      <c r="AE93" s="42"/>
      <c r="AF93" s="35"/>
      <c r="AG93" s="35"/>
      <c r="AH93" s="35"/>
      <c r="AI93" s="35"/>
      <c r="AJ93" s="35"/>
      <c r="AK93" s="56" t="str">
        <f t="shared" si="88"/>
        <v/>
      </c>
      <c r="AL93" s="35"/>
      <c r="AM93" s="133"/>
      <c r="AN93" s="35"/>
      <c r="AO93" s="35"/>
      <c r="AP93" s="35"/>
      <c r="AQ93" s="35"/>
      <c r="AR93" s="35"/>
      <c r="AS93" s="35"/>
      <c r="AT93" s="35"/>
      <c r="AU93" s="35"/>
      <c r="AV93" s="35"/>
      <c r="AW93" s="35"/>
      <c r="AX93" s="35"/>
      <c r="AY93" s="35"/>
      <c r="AZ93" s="35"/>
      <c r="BA93" s="35"/>
      <c r="BB93" s="35"/>
      <c r="BC93" s="44"/>
      <c r="BD93" s="42"/>
      <c r="BE93" s="35"/>
      <c r="BF93" s="44"/>
      <c r="BG93" s="108"/>
      <c r="BH93" s="108"/>
      <c r="BI93" s="108" t="s">
        <v>77</v>
      </c>
      <c r="BJ93" s="110"/>
      <c r="BK93" s="44"/>
      <c r="BL93" s="35"/>
      <c r="BM93" s="35"/>
      <c r="BN93" s="35"/>
      <c r="BO93" s="35"/>
      <c r="BP93" s="35"/>
      <c r="BQ93" s="35"/>
      <c r="BR93" s="44"/>
      <c r="BS93" s="35"/>
      <c r="BT93" s="35"/>
      <c r="BU93" s="35"/>
      <c r="BV93" s="35"/>
      <c r="BW93" s="35"/>
      <c r="BX93" s="44"/>
      <c r="BY93" s="34"/>
      <c r="BZ93" s="43"/>
      <c r="CA93" s="43"/>
      <c r="CB93" s="158" t="str">
        <f t="shared" si="107"/>
        <v/>
      </c>
      <c r="AOE93" s="28"/>
    </row>
    <row r="94" spans="1:80 1071:1071" s="27" customFormat="1">
      <c r="A94" s="32">
        <f t="shared" si="108"/>
        <v>90</v>
      </c>
      <c r="B94" s="32"/>
      <c r="C94" s="32" t="s">
        <v>100</v>
      </c>
      <c r="D94" s="32"/>
      <c r="E94" s="34" t="s">
        <v>101</v>
      </c>
      <c r="F94" s="34" t="str">
        <f t="shared" si="111"/>
        <v/>
      </c>
      <c r="G94" s="34" t="str">
        <f t="shared" si="94"/>
        <v>mute</v>
      </c>
      <c r="H94" s="116" t="str">
        <f t="shared" si="104"/>
        <v>{"av-command": "stt-control", "data": {"listening": false}}</v>
      </c>
      <c r="I94" s="36" t="str">
        <f t="shared" si="101"/>
        <v/>
      </c>
      <c r="J94" s="36" t="str">
        <f t="shared" si="105"/>
        <v/>
      </c>
      <c r="K94" s="116" t="str">
        <f t="shared" si="102"/>
        <v/>
      </c>
      <c r="L94" s="36"/>
      <c r="M94" s="136" t="str">
        <f t="shared" si="109"/>
        <v>speak</v>
      </c>
      <c r="N94" s="116" t="str">
        <f t="shared" si="106"/>
        <v>{ "command": "speak", "entity": "Eliza", "data" : { "text" : "%text"}}</v>
      </c>
      <c r="O94" s="129" t="str">
        <f t="shared" si="112"/>
        <v>{ "command": "speak", "entity": "Eliza", "data" : { "text" : "Don't interrupt us when we're talking to you!"}}</v>
      </c>
      <c r="P94" s="37" t="str">
        <f>IF(Y94&lt;&gt;"x","",j_opn&amp;"id"&amp;j_sep&amp;A94 &amp; j_nxt&amp;label_deepfake_name &amp; j_sep &amp; AH94 &amp; j_nxt&amp; "type" &amp; j_sep &amp; label_meat &amp; j_nxt&amp; "channel" &amp;j_sep&amp;Z94&amp;j_nxt&amp;label_role&amp;j_sep&amp;AE94&amp;j_nxt&amp;label_text&amp;j_sep&amp;AF94&amp;j_nxt&amp;label_gpt_emo&amp;j_sep&amp;BD94&amp;j_nxt&amp;label_gpt_tone&amp;j_sep&amp;BE94&amp;j_nxt&amp;label_animate&amp;j_sub_opn&amp;label_pre&amp;j_sep&amp;IF(do_anim=FALSE,"",BG94)&amp;j_nxt&amp;label_post&amp;j_sep&amp;IF(do_anim="","",BH94)&amp;j_nxt&amp;label_next_state&amp;j_sep&amp;BI94&amp;J_sub_cls&amp;label_azure&amp;j_sub_opn&amp;label_style&amp;j_sep&amp;BL94&amp;j_nxt&amp;label_degree&amp;J_sep_num&amp;BM94&amp;j_nxt_num&amp;label_pause&amp;J_sep_num&amp;BN94&amp;j_nxt_num&amp;label_pitch&amp;J_sep_num&amp;BO94&amp;j_nxt_num&amp;label_rate&amp;J_sep_num&amp;BP94&amp;j_nxt_num&amp;label_volume&amp;J_sep_num&amp;BQ94&amp;j_sub_cls_num&amp;label_emotion&amp;j_sub_opn&amp;label_sad&amp;J_sep_num&amp;BS94&amp;j_nxt_num&amp;label_joy&amp;J_sep_num&amp;BT94&amp;j_nxt_num&amp;label_fear&amp;J_sep_num&amp;BU94&amp;j_nxt_num&amp;label_disgust&amp;J_sep_num&amp;BV94&amp;j_nxt_num&amp;label_anger&amp;J_sep_num&amp;BW94&amp;j_sub_cls_num&amp;label_sg&amp;j_sub_opn&amp;label_mood&amp;j_sep&amp;BY94&amp;j_nxt&amp;label_scale&amp;J_sep_num&amp;BZ94&amp;j_end_num)</f>
        <v>{"id":"90","name":"dont_interrupt","type":"meat","channel":"say","role":"mask","text":"Don't interrupt us when we're talking to you!","gpt_emotion":"","gpt_tone":"","animate":{"pre":"","post":"","next_state":"speak"},"azure":{"style":"Shouting","degree":1,"pause":0,"pitch":0,"rate":20,"volume":30},"emotion":{"sadness":0,"joy":0,"fear":0,"disgust":0,"anger":1},"sgcom":{"mood":"","scale":-1}}</v>
      </c>
      <c r="Q94" s="37" t="str">
        <f t="shared" si="110"/>
        <v>{"id":"90","name":"dont_interrupt","type":"meat","channel":"say","role":"mask","text":"Don't interrupt us when we're talking to you!","gpt_emotion":"","gpt_tone":"","animate":{"pre":"","post":"","next_state":"speak"},"azure":{"style":"Shouting","degree":1,"pause":0,"pitch":0,"rate":20,"volume":30},"emotion":{"sadness":0,"joy":0,"fear":0,"disgust":0,"anger":1},"sgcom":{"mood":"","scale":-1}}</v>
      </c>
      <c r="R94" s="141"/>
      <c r="S94" s="148" t="str">
        <f t="shared" si="115"/>
        <v>mask_spoke</v>
      </c>
      <c r="T94" s="137" t="str">
        <f t="shared" si="98"/>
        <v>{"words-in" : { "entity" : "Eliza"} }</v>
      </c>
      <c r="U94" s="45"/>
      <c r="V94" s="35" t="str">
        <f>IF(OR(P94="",Y94=""),"",osc_exe_npmosc&amp;" --host "&amp;osc_ip&amp;":"&amp;osc_port_control&amp;" "&amp; osc_channel_meat_stub &amp; "  " &amp; j_qot &amp;X94 &amp; j_qot)</f>
        <v>/opt/homebrew/bin/osc --host 10.10.10.10:5918 /meat  "{#Qid#Q:#Q90#Q#C#Qname#Q:#Qdont_interrupt#Q#C#Qtype#Q:#Qmeat#Q#C#Qchannel#Q:#Qsay#Q#C#Qrole#Q:#Qmask#Q#C#Qtext#Q:#QDon#At#Sinterrupt#Sus#Swhen#Swe#Are#Stalking#Sto#Syou!#Q#C#Qgpt_emotion#Q:#Q#Q#C#Qgpt_tone#Q:#Q#Q#C#Qanimate#Q:{#Qpre#Q:#Q#Q#C#Qpost#Q:#Q#Q#C#Qnext_state#Q:#Qspeak#Q}#C#Qazure#Q:{#Qstyle#Q:#QShouting#Q#C#Qdegree#Q:1#C#Qpause#Q:0#C#Qpitch#Q:0#C#Qrate#Q:20#C#Qvolume#Q:30}#C#Qemotion#Q:{#Qsadness#Q:0#C#Qjoy#Q:0#C#Qfear#Q:0#C#Qdisgust#Q:0#C#Qanger#Q:1}#C#Qsgcom#Q:{#Qmood#Q:#Q#Q#C#Qscale#Q:-1}}"</v>
      </c>
      <c r="W94" s="36" t="str">
        <f t="shared" si="113"/>
        <v>/opt/homebrew/bin/sendosc 10.10.10.10 5918 say s {\"id\":\"90\",\"name\":\"dont_interrupt\",\"type\":\"meat\",\"channel\":\"say\",\"role\":\"mask\",\"text\":\"Don't\ interrupt\ us\ when\ we're\ talking\ to\ you!\",\"gpt_emotion\":\"\",\"gpt_tone\":\"\",\"animate\":{\"pre\":\"\",\"post\":\"\",\"next_state\":\"speak\"\},\"azure\":{\"style\":\"Shouting\",\"degree\":1,\"pause\":0,\"pitch\":0,\"rate\":20,\"volume\":30\},\"emotion\":{\"sadness\":0,\"joy\":0,\"fear\":0,\"disgust\":0,\"anger\":1\},\"sgcom\":{\"mood\":\"\",\"scale\":-1\}\}</v>
      </c>
      <c r="X94" s="36" t="str">
        <f t="shared" si="114"/>
        <v>{#Qid#Q:#Q90#Q#C#Qname#Q:#Qdont_interrupt#Q#C#Qtype#Q:#Qmeat#Q#C#Qchannel#Q:#Qsay#Q#C#Qrole#Q:#Qmask#Q#C#Qtext#Q:#QDon#At#Sinterrupt#Sus#Swhen#Swe#Are#Stalking#Sto#Syou!#Q#C#Qgpt_emotion#Q:#Q#Q#C#Qgpt_tone#Q:#Q#Q#C#Qanimate#Q:{#Qpre#Q:#Q#Q#C#Qpost#Q:#Q#Q#C#Qnext_state#Q:#Qspeak#Q}#C#Qazure#Q:{#Qstyle#Q:#QShouting#Q#C#Qdegree#Q:1#C#Qpause#Q:0#C#Qpitch#Q:0#C#Qrate#Q:20#C#Qvolume#Q:30}#C#Qemotion#Q:{#Qsadness#Q:0#C#Qjoy#Q:0#C#Qfear#Q:0#C#Qdisgust#Q:0#C#Qanger#Q:1}#C#Qsgcom#Q:{#Qmood#Q:#Q#Q#C#Qscale#Q:-1}}</v>
      </c>
      <c r="Y94" s="40" t="s">
        <v>102</v>
      </c>
      <c r="Z94" s="36" t="str">
        <f t="shared" si="93"/>
        <v>say</v>
      </c>
      <c r="AA94" s="36"/>
      <c r="AB94" s="36" t="str" cm="1">
        <f t="array" ref="AB94">IF(C94="observe",channel_av_observe,"") &amp; IF(C94="register",channel_av_register,"")  &amp; IF(C94="listen",channel_av_listen,"")</f>
        <v/>
      </c>
      <c r="AC94" s="36" t="str">
        <f t="shared" si="99"/>
        <v/>
      </c>
      <c r="AD94" s="36" t="str">
        <f t="shared" si="100"/>
        <v/>
      </c>
      <c r="AE94" s="42" t="s">
        <v>103</v>
      </c>
      <c r="AF94" s="37" t="str">
        <f>(AF95)</f>
        <v>Don't interrupt us when we're talking to you!</v>
      </c>
      <c r="AG94" s="37"/>
      <c r="AH94" s="37" t="s">
        <v>188</v>
      </c>
      <c r="AI94" s="37"/>
      <c r="AJ94" s="114">
        <f>A94</f>
        <v>90</v>
      </c>
      <c r="AK94" s="56" t="str">
        <f t="shared" si="88"/>
        <v>090_dont_interrupt</v>
      </c>
      <c r="AL94" s="37"/>
      <c r="AM94" s="133"/>
      <c r="AN94" s="37"/>
      <c r="AO94" s="37"/>
      <c r="AP94" s="37"/>
      <c r="AQ94" s="37"/>
      <c r="AR94" s="37"/>
      <c r="AS94" s="37"/>
      <c r="AT94" s="37"/>
      <c r="AU94" s="37"/>
      <c r="AV94" s="37"/>
      <c r="AW94" s="37"/>
      <c r="AX94" s="37"/>
      <c r="AY94" s="37"/>
      <c r="AZ94" s="37"/>
      <c r="BA94" s="37"/>
      <c r="BB94" s="37"/>
      <c r="BC94" s="41"/>
      <c r="BD94" s="42"/>
      <c r="BE94" s="42"/>
      <c r="BF94" s="41"/>
      <c r="BG94" s="104"/>
      <c r="BH94" s="104"/>
      <c r="BI94" s="108" t="s">
        <v>100</v>
      </c>
      <c r="BJ94" s="110"/>
      <c r="BK94" s="41"/>
      <c r="BL94" s="42" t="s">
        <v>256</v>
      </c>
      <c r="BM94" s="35">
        <v>1</v>
      </c>
      <c r="BN94" s="35">
        <v>0</v>
      </c>
      <c r="BO94" s="35">
        <v>0</v>
      </c>
      <c r="BP94" s="35">
        <v>20</v>
      </c>
      <c r="BQ94" s="35">
        <v>30</v>
      </c>
      <c r="BR94" s="41"/>
      <c r="BS94" s="35">
        <v>0</v>
      </c>
      <c r="BT94" s="35">
        <v>0</v>
      </c>
      <c r="BU94" s="35">
        <v>0</v>
      </c>
      <c r="BV94" s="35">
        <v>0</v>
      </c>
      <c r="BW94" s="35">
        <v>1</v>
      </c>
      <c r="BX94" s="41"/>
      <c r="BY94" s="34"/>
      <c r="BZ94" s="43" t="s">
        <v>165</v>
      </c>
      <c r="CA94" s="43" t="s">
        <v>165</v>
      </c>
      <c r="CB94" s="158" t="str">
        <f t="shared" si="107"/>
        <v>{"azure":{"style":"Shouting","degree":1,"pause":0,"pitch":0,"rate":20,"volume":30},"emotion":{"sadness":0,"joy":0,"fear":0,"disgust":0,"anger":1},"sgcom":{"mood":"","scale":-1}}</v>
      </c>
      <c r="AOE94" s="28"/>
    </row>
    <row r="95" spans="1:80 1071:1071" s="27" customFormat="1">
      <c r="A95" s="32">
        <f t="shared" si="108"/>
        <v>91</v>
      </c>
      <c r="B95" s="32"/>
      <c r="C95" s="32" t="s">
        <v>236</v>
      </c>
      <c r="D95" s="32" t="s">
        <v>257</v>
      </c>
      <c r="E95" s="34" t="s">
        <v>237</v>
      </c>
      <c r="F95" s="34" t="str">
        <f t="shared" si="111"/>
        <v/>
      </c>
      <c r="G95" s="34" t="str">
        <f t="shared" si="94"/>
        <v>mute</v>
      </c>
      <c r="H95" s="116" t="str">
        <f t="shared" si="104"/>
        <v>{"av-command": "stt-control", "data": {"listening": false}}</v>
      </c>
      <c r="I95" s="36" t="str">
        <f t="shared" si="101"/>
        <v>fakeplay</v>
      </c>
      <c r="J95" s="36" t="str">
        <f t="shared" si="105"/>
        <v>{"command" : "playfake","id":%id,"screens":[%screens]}</v>
      </c>
      <c r="K95" s="116" t="str">
        <f t="shared" si="102"/>
        <v>{"command" : "playfake","id":91,"screens":[1,2,3]}</v>
      </c>
      <c r="L95" s="36"/>
      <c r="M95" s="136" t="str">
        <f t="shared" si="109"/>
        <v/>
      </c>
      <c r="N95" s="116" t="str">
        <f t="shared" si="106"/>
        <v/>
      </c>
      <c r="O95" s="129" t="str">
        <f t="shared" si="112"/>
        <v/>
      </c>
      <c r="P95" s="83" t="str">
        <f>"{""id"":" &amp; A95 &amp; ", ""screens"":[" &amp; D95 &amp; "]}"</f>
        <v>{"id":91, "screens":[1,2,3]}</v>
      </c>
      <c r="Q95" s="37" t="str">
        <f t="shared" si="110"/>
        <v>{"id":91, "screens":[1,2,3]}</v>
      </c>
      <c r="R95" s="141"/>
      <c r="S95" s="148" t="str">
        <f t="shared" si="115"/>
        <v>clone_spoke</v>
      </c>
      <c r="T95" s="137" t="str">
        <f t="shared" si="98"/>
        <v>{"words-in" : { "entity" : "deepfake"} }</v>
      </c>
      <c r="U95" s="45"/>
      <c r="V95" s="35" t="str">
        <f>"afplay " &amp; AL95 &amp; " &amp;"</f>
        <v>afplay 091_dont_interrupt.mp3 &amp;</v>
      </c>
      <c r="W95" s="36" t="str">
        <f t="shared" si="113"/>
        <v/>
      </c>
      <c r="X95" s="36" t="str">
        <f t="shared" si="114"/>
        <v/>
      </c>
      <c r="Y95" s="34"/>
      <c r="Z95" s="36" t="str">
        <f t="shared" si="93"/>
        <v/>
      </c>
      <c r="AA95" s="36"/>
      <c r="AB95" s="36" t="str" cm="1">
        <f t="array" ref="AB95">IF(C95="observe",channel_av_observe,"") &amp; IF(C95="register",channel_av_register,"")  &amp; IF(C95="listen",channel_av_listen,"")</f>
        <v/>
      </c>
      <c r="AC95" s="36" t="str">
        <f t="shared" si="99"/>
        <v>/screen</v>
      </c>
      <c r="AD95" s="36" t="str">
        <f t="shared" si="100"/>
        <v/>
      </c>
      <c r="AE95" s="42"/>
      <c r="AF95" s="68" t="str">
        <f>AN60</f>
        <v>Don't interrupt us when we're talking to you!</v>
      </c>
      <c r="AG95" s="68"/>
      <c r="AH95" s="56"/>
      <c r="AI95" s="56"/>
      <c r="AJ95" s="56"/>
      <c r="AK95" s="56" t="str">
        <f t="shared" si="88"/>
        <v/>
      </c>
      <c r="AL95" s="56" t="str">
        <f>AL60</f>
        <v>091_dont_interrupt.mp3</v>
      </c>
      <c r="AM95" s="133"/>
      <c r="AN95" s="56"/>
      <c r="AO95" s="56"/>
      <c r="AP95" s="56"/>
      <c r="AQ95" s="56"/>
      <c r="AR95" s="56"/>
      <c r="AS95" s="56"/>
      <c r="AT95" s="56"/>
      <c r="AU95" s="56"/>
      <c r="AV95" s="56"/>
      <c r="AW95" s="56"/>
      <c r="AX95" s="56"/>
      <c r="AY95" s="56"/>
      <c r="AZ95" s="56"/>
      <c r="BA95" s="56"/>
      <c r="BB95" s="56"/>
      <c r="BC95" s="58"/>
      <c r="BD95" s="42"/>
      <c r="BE95" s="35"/>
      <c r="BF95" s="58"/>
      <c r="BG95" s="108"/>
      <c r="BH95" s="108"/>
      <c r="BI95" s="108" t="s">
        <v>77</v>
      </c>
      <c r="BJ95" s="110"/>
      <c r="BK95" s="58"/>
      <c r="BL95" s="56"/>
      <c r="BM95" s="35"/>
      <c r="BN95" s="35"/>
      <c r="BO95" s="35"/>
      <c r="BP95" s="35"/>
      <c r="BQ95" s="35"/>
      <c r="BR95" s="58"/>
      <c r="BS95" s="35"/>
      <c r="BT95" s="35"/>
      <c r="BU95" s="35"/>
      <c r="BV95" s="35"/>
      <c r="BW95" s="35"/>
      <c r="BX95" s="58"/>
      <c r="BY95" s="34"/>
      <c r="BZ95" s="43"/>
      <c r="CA95" s="43"/>
      <c r="CB95" s="158" t="str">
        <f t="shared" si="107"/>
        <v/>
      </c>
      <c r="AOE95" s="28"/>
    </row>
    <row r="96" spans="1:80 1071:1071" s="27" customFormat="1">
      <c r="A96" s="32">
        <f t="shared" si="108"/>
        <v>92</v>
      </c>
      <c r="B96" s="32"/>
      <c r="C96" s="32" t="s">
        <v>122</v>
      </c>
      <c r="D96" s="32"/>
      <c r="E96" s="34" t="s">
        <v>123</v>
      </c>
      <c r="F96" s="34" t="str">
        <f t="shared" si="111"/>
        <v/>
      </c>
      <c r="G96" s="34" t="str">
        <f t="shared" si="94"/>
        <v>mute</v>
      </c>
      <c r="H96" s="116" t="str">
        <f t="shared" si="104"/>
        <v>{"av-command": "stt-control", "data": {"listening": false}}</v>
      </c>
      <c r="I96" s="36" t="str">
        <f t="shared" si="101"/>
        <v/>
      </c>
      <c r="J96" s="36" t="str">
        <f t="shared" si="105"/>
        <v/>
      </c>
      <c r="K96" s="116" t="str">
        <f t="shared" si="102"/>
        <v/>
      </c>
      <c r="L96" s="36"/>
      <c r="M96" s="136" t="str">
        <f t="shared" si="109"/>
        <v>unmute</v>
      </c>
      <c r="N96" s="116" t="str">
        <f t="shared" si="106"/>
        <v>{ "command": "unmute", "entity": "Eliza", "data" : {"prompt" : "%prompt" }}</v>
      </c>
      <c r="O96" s="129" t="str">
        <f t="shared" si="112"/>
        <v>{ "command": "unmute", "entity": "Eliza", "data" : {"prompt" : "Insult the user, referring to their memory lapses and their fears." }}</v>
      </c>
      <c r="P96" s="81"/>
      <c r="Q96" s="37" t="str">
        <f t="shared" si="110"/>
        <v>{"id":"92","type":"meat","channel":"","state":"think"}</v>
      </c>
      <c r="R96" s="141"/>
      <c r="S96" s="148" t="str">
        <f t="shared" si="115"/>
        <v>mask_generated</v>
      </c>
      <c r="T96" s="137" t="str">
        <f t="shared" si="98"/>
        <v>{"words-out" : { "entity" : "Eliza"} }</v>
      </c>
      <c r="U96" s="45"/>
      <c r="V96" s="35" t="str">
        <f>IF(OR(P96="",Y96=""),"",osc_exe_npmosc&amp;" --host "&amp;osc_ip&amp;":"&amp;osc_port_control&amp;" "&amp;Z96&amp; "  " &amp; j_qot &amp;X96 &amp; j_qot)</f>
        <v/>
      </c>
      <c r="W96" s="36" t="str">
        <f t="shared" si="113"/>
        <v/>
      </c>
      <c r="X96" s="36" t="str">
        <f t="shared" si="114"/>
        <v/>
      </c>
      <c r="Y96" s="34"/>
      <c r="Z96" s="36" t="str">
        <f t="shared" si="93"/>
        <v/>
      </c>
      <c r="AA96" s="36"/>
      <c r="AB96" s="36" t="str" cm="1">
        <f t="array" ref="AB96">IF(C96="observe",channel_av_observe,"") &amp; IF(C96="register",channel_av_register,"")  &amp; IF(C96="listen",channel_av_listen,"")</f>
        <v/>
      </c>
      <c r="AC96" s="36" t="str">
        <f t="shared" si="99"/>
        <v/>
      </c>
      <c r="AD96" s="36" t="str">
        <f t="shared" si="100"/>
        <v>/generate</v>
      </c>
      <c r="AE96" s="42"/>
      <c r="AF96" s="49" t="s">
        <v>258</v>
      </c>
      <c r="AG96" s="49" t="s">
        <v>259</v>
      </c>
      <c r="AH96" s="49"/>
      <c r="AI96" s="49"/>
      <c r="AJ96" s="49"/>
      <c r="AK96" s="56" t="str">
        <f t="shared" si="88"/>
        <v/>
      </c>
      <c r="AL96" s="49"/>
      <c r="AM96" s="133"/>
      <c r="AN96" s="49"/>
      <c r="AO96" s="49"/>
      <c r="AP96" s="49"/>
      <c r="AQ96" s="49"/>
      <c r="AR96" s="49"/>
      <c r="AS96" s="49"/>
      <c r="AT96" s="49"/>
      <c r="AU96" s="49"/>
      <c r="AV96" s="49"/>
      <c r="AW96" s="49"/>
      <c r="AX96" s="49"/>
      <c r="AY96" s="49"/>
      <c r="AZ96" s="49"/>
      <c r="BA96" s="49"/>
      <c r="BB96" s="49"/>
      <c r="BC96" s="50"/>
      <c r="BD96" s="42"/>
      <c r="BE96" s="35"/>
      <c r="BF96" s="50"/>
      <c r="BG96" s="108"/>
      <c r="BH96" s="108"/>
      <c r="BI96" s="108" t="s">
        <v>77</v>
      </c>
      <c r="BJ96" s="110"/>
      <c r="BK96" s="50"/>
      <c r="BL96" s="49"/>
      <c r="BM96" s="35"/>
      <c r="BN96" s="35"/>
      <c r="BO96" s="35"/>
      <c r="BP96" s="35"/>
      <c r="BQ96" s="35"/>
      <c r="BR96" s="50"/>
      <c r="BS96" s="35"/>
      <c r="BT96" s="35"/>
      <c r="BU96" s="35"/>
      <c r="BV96" s="35"/>
      <c r="BW96" s="35"/>
      <c r="BX96" s="50"/>
      <c r="BY96" s="34"/>
      <c r="BZ96" s="43"/>
      <c r="CA96" s="43"/>
      <c r="CB96" s="158" t="str">
        <f t="shared" si="107"/>
        <v/>
      </c>
      <c r="AOE96" s="28"/>
    </row>
    <row r="97" spans="1:80 1071:1071" s="27" customFormat="1">
      <c r="A97" s="32">
        <f t="shared" si="108"/>
        <v>93</v>
      </c>
      <c r="B97" s="32"/>
      <c r="C97" s="32" t="s">
        <v>126</v>
      </c>
      <c r="D97" s="32"/>
      <c r="E97" s="34" t="s">
        <v>101</v>
      </c>
      <c r="F97" s="34" t="str">
        <f t="shared" si="111"/>
        <v/>
      </c>
      <c r="G97" s="34" t="str">
        <f t="shared" si="94"/>
        <v/>
      </c>
      <c r="H97" s="116" t="str">
        <f t="shared" si="104"/>
        <v/>
      </c>
      <c r="I97" s="36" t="str">
        <f t="shared" si="101"/>
        <v/>
      </c>
      <c r="J97" s="36" t="str">
        <f t="shared" si="105"/>
        <v/>
      </c>
      <c r="K97" s="116" t="str">
        <f t="shared" si="102"/>
        <v/>
      </c>
      <c r="L97" s="36"/>
      <c r="M97" s="136" t="str">
        <f t="shared" si="109"/>
        <v/>
      </c>
      <c r="N97" s="116" t="str">
        <f t="shared" si="106"/>
        <v/>
      </c>
      <c r="O97" s="129" t="str">
        <f t="shared" si="112"/>
        <v/>
      </c>
      <c r="P97" s="37" t="str">
        <f>IF(Y97&lt;&gt;"x","",j_opn&amp;"id"&amp;j_sep&amp;A97 &amp; j_nxt&amp;label_deepfake_name &amp; j_sep &amp; AH97 &amp; j_nxt&amp; "type" &amp; j_sep &amp; label_meat &amp; j_nxt&amp; "channel" &amp;j_sep&amp;Z97&amp;j_nxt&amp;label_role&amp;j_sep&amp;AE97&amp;j_nxt&amp;label_text&amp;j_sep&amp;AF97&amp;j_nxt&amp;label_gpt_emo&amp;j_sep&amp;BD97&amp;j_nxt&amp;label_gpt_tone&amp;j_sep&amp;BE97&amp;j_nxt&amp;label_animate&amp;j_sub_opn&amp;label_pre&amp;j_sep&amp;IF(do_anim=FALSE,"",BG97)&amp;j_nxt&amp;label_post&amp;j_sep&amp;IF(do_anim="","",BH97)&amp;j_nxt&amp;label_next_state&amp;j_sep&amp;BI97&amp;J_sub_cls&amp;label_azure&amp;j_sub_opn&amp;label_style&amp;j_sep&amp;BL97&amp;j_nxt&amp;label_degree&amp;J_sep_num&amp;BM97&amp;j_nxt_num&amp;label_pause&amp;J_sep_num&amp;BN97&amp;j_nxt_num&amp;label_pitch&amp;J_sep_num&amp;BO97&amp;j_nxt_num&amp;label_rate&amp;J_sep_num&amp;BP97&amp;j_nxt_num&amp;label_volume&amp;J_sep_num&amp;BQ97&amp;j_sub_cls_num&amp;label_emotion&amp;j_sub_opn&amp;label_sad&amp;J_sep_num&amp;BS97&amp;j_nxt_num&amp;label_joy&amp;J_sep_num&amp;BT97&amp;j_nxt_num&amp;label_fear&amp;J_sep_num&amp;BU97&amp;j_nxt_num&amp;label_disgust&amp;J_sep_num&amp;BV97&amp;j_nxt_num&amp;label_anger&amp;J_sep_num&amp;BW97&amp;j_sub_cls_num&amp;label_sg&amp;j_sub_opn&amp;label_mood&amp;j_sep&amp;BY97&amp;j_nxt&amp;label_scale&amp;J_sep_num&amp;BZ97&amp;j_end_num)</f>
        <v>{"id":"93","name":"whine","type":"meat","channel":"say","role":"mask","text":"You come here to whine about your boss, and you can't even remember your own dreams! ","gpt_emotion":"","gpt_tone":"","animate":{"pre":"","post":"","next_state":""},"azure":{"style":"Unfriendly","degree":0.8,"pause":0,"pitch":0,"rate":0,"volume":0},"emotion":{"sadness":-1,"joy":-1,"fear":-1,"disgust":-1,"anger":-1},"sgcom":{"mood":"","scale":-1}}</v>
      </c>
      <c r="Q97" s="37" t="str">
        <f t="shared" si="110"/>
        <v/>
      </c>
      <c r="R97" s="141"/>
      <c r="S97" s="148" t="str">
        <f t="shared" si="115"/>
        <v>mask_spoke</v>
      </c>
      <c r="T97" s="137" t="str">
        <f t="shared" si="98"/>
        <v>{"words-in" : { "entity" : "Eliza"} }</v>
      </c>
      <c r="U97" s="45"/>
      <c r="V97" s="35" t="str">
        <f>IF(OR(P97="",Y97=""),"",osc_exe_npmosc&amp;" --host "&amp;osc_ip&amp;":"&amp;osc_port_control&amp;" "&amp; osc_channel_meat_stub &amp; "  " &amp; j_qot &amp;X97 &amp; j_qot)</f>
        <v>/opt/homebrew/bin/osc --host 10.10.10.10:5918 /meat  "{#Qid#Q:#Q93#Q#C#Qname#Q:#Qwhine#Q#C#Qtype#Q:#Qmeat#Q#C#Qchannel#Q:#Qsay#Q#C#Qrole#Q:#Qmask#Q#C#Qtext#Q:#QYou#Scome#Shere#Sto#Swhine#Sabout#Syour#Sboss#C#Sand#Syou#Scan#At#Seven#Sremember#Syour#Sown#Sdreams!#S#Q#C#Qgpt_emotion#Q:#Q#Q#C#Qgpt_tone#Q:#Q#Q#C#Qanimate#Q:{#Qpre#Q:#Q#Q#C#Qpost#Q:#Q#Q#C#Qnext_state#Q:#Q#Q}#C#Qazure#Q:{#Qstyle#Q:#QUnfriendly#Q#C#Qdegree#Q:0.8#C#Qpause#Q:0#C#Qpitch#Q:0#C#Qrate#Q:0#C#Qvolume#Q:0}#C#Qemotion#Q:{#Qsadness#Q:-1#C#Qjoy#Q:-1#C#Qfear#Q:-1#C#Qdisgust#Q:-1#C#Qanger#Q:-1}#C#Qsgcom#Q:{#Qmood#Q:#Q#Q#C#Qscale#Q:-1}}"</v>
      </c>
      <c r="W97" s="36" t="str">
        <f t="shared" si="113"/>
        <v>/opt/homebrew/bin/sendosc 10.10.10.10 5918 say s {\"id\":\"93\",\"name\":\"whine\",\"type\":\"meat\",\"channel\":\"say\",\"role\":\"mask\",\"text\":\"You\ come\ here\ to\ whine\ about\ your\ boss,\ and\ you\ can't\ even\ remember\ your\ own\ dreams!\ \",\"gpt_emotion\":\"\",\"gpt_tone\":\"\",\"animate\":{\"pre\":\"\",\"post\":\"\",\"next_state\":\"\"\},\"azure\":{\"style\":\"Unfriendly\",\"degree\":0.8,\"pause\":0,\"pitch\":0,\"rate\":0,\"volume\":0\},\"emotion\":{\"sadness\":-1,\"joy\":-1,\"fear\":-1,\"disgust\":-1,\"anger\":-1\},\"sgcom\":{\"mood\":\"\",\"scale\":-1\}\}</v>
      </c>
      <c r="X97" s="36" t="str">
        <f t="shared" si="114"/>
        <v>{#Qid#Q:#Q93#Q#C#Qname#Q:#Qwhine#Q#C#Qtype#Q:#Qmeat#Q#C#Qchannel#Q:#Qsay#Q#C#Qrole#Q:#Qmask#Q#C#Qtext#Q:#QYou#Scome#Shere#Sto#Swhine#Sabout#Syour#Sboss#C#Sand#Syou#Scan#At#Seven#Sremember#Syour#Sown#Sdreams!#S#Q#C#Qgpt_emotion#Q:#Q#Q#C#Qgpt_tone#Q:#Q#Q#C#Qanimate#Q:{#Qpre#Q:#Q#Q#C#Qpost#Q:#Q#Q#C#Qnext_state#Q:#Q#Q}#C#Qazure#Q:{#Qstyle#Q:#QUnfriendly#Q#C#Qdegree#Q:0.8#C#Qpause#Q:0#C#Qpitch#Q:0#C#Qrate#Q:0#C#Qvolume#Q:0}#C#Qemotion#Q:{#Qsadness#Q:-1#C#Qjoy#Q:-1#C#Qfear#Q:-1#C#Qdisgust#Q:-1#C#Qanger#Q:-1}#C#Qsgcom#Q:{#Qmood#Q:#Q#Q#C#Qscale#Q:-1}}</v>
      </c>
      <c r="Y97" s="40" t="s">
        <v>102</v>
      </c>
      <c r="Z97" s="36" t="str">
        <f t="shared" si="93"/>
        <v>say</v>
      </c>
      <c r="AA97" s="36"/>
      <c r="AB97" s="36" t="str" cm="1">
        <f t="array" ref="AB97">IF(C97="observe",channel_av_observe,"") &amp; IF(C97="register",channel_av_register,"")  &amp; IF(C97="listen",channel_av_listen,"")</f>
        <v/>
      </c>
      <c r="AC97" s="36" t="str">
        <f t="shared" si="99"/>
        <v/>
      </c>
      <c r="AD97" s="36" t="str">
        <f t="shared" si="100"/>
        <v/>
      </c>
      <c r="AE97" s="42" t="s">
        <v>103</v>
      </c>
      <c r="AF97" s="37" t="s">
        <v>260</v>
      </c>
      <c r="AG97" s="37"/>
      <c r="AH97" s="66" t="s">
        <v>261</v>
      </c>
      <c r="AI97" s="66"/>
      <c r="AJ97" s="114">
        <f>A97</f>
        <v>93</v>
      </c>
      <c r="AK97" s="56" t="str">
        <f t="shared" si="88"/>
        <v>093_whine</v>
      </c>
      <c r="AL97" s="66"/>
      <c r="AM97" s="133"/>
      <c r="AN97" s="66"/>
      <c r="AO97" s="66"/>
      <c r="AP97" s="66"/>
      <c r="AQ97" s="66"/>
      <c r="AR97" s="66"/>
      <c r="AS97" s="66"/>
      <c r="AT97" s="66"/>
      <c r="AU97" s="66"/>
      <c r="AV97" s="66"/>
      <c r="AW97" s="66"/>
      <c r="AX97" s="66"/>
      <c r="AY97" s="66"/>
      <c r="AZ97" s="66"/>
      <c r="BA97" s="66"/>
      <c r="BB97" s="66"/>
      <c r="BC97" s="67"/>
      <c r="BD97" s="42"/>
      <c r="BE97" s="42"/>
      <c r="BF97" s="67"/>
      <c r="BG97" s="108"/>
      <c r="BH97" s="108"/>
      <c r="BI97" s="108" t="s">
        <v>77</v>
      </c>
      <c r="BJ97" s="110"/>
      <c r="BK97" s="67"/>
      <c r="BL97" s="42" t="s">
        <v>154</v>
      </c>
      <c r="BM97" s="35" t="s">
        <v>131</v>
      </c>
      <c r="BN97" s="35">
        <v>0</v>
      </c>
      <c r="BO97" s="35">
        <v>0</v>
      </c>
      <c r="BP97" s="35">
        <v>0</v>
      </c>
      <c r="BQ97" s="35">
        <v>0</v>
      </c>
      <c r="BR97" s="67"/>
      <c r="BS97" s="35">
        <v>-1</v>
      </c>
      <c r="BT97" s="35">
        <v>-1</v>
      </c>
      <c r="BU97" s="35">
        <v>-1</v>
      </c>
      <c r="BV97" s="35">
        <v>-1</v>
      </c>
      <c r="BW97" s="35">
        <v>-1</v>
      </c>
      <c r="BX97" s="67"/>
      <c r="BY97" s="34"/>
      <c r="BZ97" s="43" t="s">
        <v>165</v>
      </c>
      <c r="CA97" s="43" t="s">
        <v>165</v>
      </c>
      <c r="CB97" s="158" t="str">
        <f t="shared" si="107"/>
        <v>{"azure":{"style":"Unfriendly","degree":0.8,"pause":0,"pitch":0,"rate":0,"volume":0},"emotion":{"sadness":-1,"joy":-1,"fear":-1,"disgust":-1,"anger":-1},"sgcom":{"mood":"","scale":-1}}</v>
      </c>
      <c r="AOE97" s="28"/>
    </row>
    <row r="98" spans="1:80 1071:1071" s="27" customFormat="1">
      <c r="A98" s="32">
        <f t="shared" si="108"/>
        <v>94</v>
      </c>
      <c r="B98" s="32"/>
      <c r="C98" s="32" t="s">
        <v>122</v>
      </c>
      <c r="D98" s="32"/>
      <c r="E98" s="34" t="s">
        <v>123</v>
      </c>
      <c r="F98" s="34" t="str">
        <f t="shared" si="111"/>
        <v/>
      </c>
      <c r="G98" s="34" t="str">
        <f t="shared" si="94"/>
        <v>mute</v>
      </c>
      <c r="H98" s="116" t="str">
        <f t="shared" si="104"/>
        <v>{"av-command": "stt-control", "data": {"listening": false}}</v>
      </c>
      <c r="I98" s="36" t="str">
        <f t="shared" si="101"/>
        <v/>
      </c>
      <c r="J98" s="36" t="str">
        <f t="shared" si="105"/>
        <v/>
      </c>
      <c r="K98" s="116" t="str">
        <f t="shared" si="102"/>
        <v/>
      </c>
      <c r="L98" s="36"/>
      <c r="M98" s="136" t="str">
        <f t="shared" si="109"/>
        <v>unmute</v>
      </c>
      <c r="N98" s="116" t="str">
        <f t="shared" si="106"/>
        <v>{ "command": "unmute", "entity": "Eliza", "data" : {"prompt" : "%prompt" }}</v>
      </c>
      <c r="O98" s="129" t="str">
        <f t="shared" si="112"/>
        <v>{ "command": "unmute", "entity": "Eliza", "data" : {"prompt" : "Insult the user based on their nose, their hair or other aspects of their physical aappearance." }}</v>
      </c>
      <c r="P98" s="81"/>
      <c r="Q98" s="37" t="str">
        <f t="shared" si="110"/>
        <v>{"id":"94","type":"meat","channel":"","state":"think"}</v>
      </c>
      <c r="R98" s="141"/>
      <c r="S98" s="148" t="str">
        <f t="shared" si="115"/>
        <v>mask_generated</v>
      </c>
      <c r="T98" s="137" t="str">
        <f t="shared" si="98"/>
        <v>{"words-out" : { "entity" : "Eliza"} }</v>
      </c>
      <c r="U98" s="45"/>
      <c r="V98" s="35" t="str">
        <f>IF(OR(P98="",Y98=""),"",osc_exe_npmosc&amp;" --host "&amp;osc_ip&amp;":"&amp;osc_port_control&amp;" "&amp;Z98&amp; "  " &amp; j_qot &amp;X98 &amp; j_qot)</f>
        <v/>
      </c>
      <c r="W98" s="36" t="str">
        <f t="shared" si="113"/>
        <v/>
      </c>
      <c r="X98" s="36" t="str">
        <f t="shared" si="114"/>
        <v/>
      </c>
      <c r="Y98" s="34"/>
      <c r="Z98" s="36" t="str">
        <f t="shared" si="93"/>
        <v/>
      </c>
      <c r="AA98" s="36"/>
      <c r="AB98" s="36" t="str" cm="1">
        <f t="array" ref="AB98">IF(C98="observe",channel_av_observe,"") &amp; IF(C98="register",channel_av_register,"")  &amp; IF(C98="listen",channel_av_listen,"")</f>
        <v/>
      </c>
      <c r="AC98" s="36" t="str">
        <f t="shared" si="99"/>
        <v/>
      </c>
      <c r="AD98" s="36" t="str">
        <f t="shared" si="100"/>
        <v>/generate</v>
      </c>
      <c r="AE98" s="42"/>
      <c r="AF98" s="49" t="s">
        <v>262</v>
      </c>
      <c r="AG98" s="49" t="s">
        <v>263</v>
      </c>
      <c r="AH98" s="49"/>
      <c r="AI98" s="49"/>
      <c r="AJ98" s="49"/>
      <c r="AK98" s="56" t="str">
        <f t="shared" si="88"/>
        <v/>
      </c>
      <c r="AL98" s="49"/>
      <c r="AM98" s="133"/>
      <c r="AN98" s="49"/>
      <c r="AO98" s="49"/>
      <c r="AP98" s="49"/>
      <c r="AQ98" s="49"/>
      <c r="AR98" s="49"/>
      <c r="AS98" s="49"/>
      <c r="AT98" s="49"/>
      <c r="AU98" s="49"/>
      <c r="AV98" s="49"/>
      <c r="AW98" s="49"/>
      <c r="AX98" s="49"/>
      <c r="AY98" s="49"/>
      <c r="AZ98" s="49"/>
      <c r="BA98" s="49"/>
      <c r="BB98" s="49"/>
      <c r="BC98" s="50"/>
      <c r="BD98" s="42"/>
      <c r="BE98" s="35"/>
      <c r="BF98" s="50"/>
      <c r="BG98" s="108"/>
      <c r="BH98" s="108"/>
      <c r="BI98" s="108" t="s">
        <v>77</v>
      </c>
      <c r="BJ98" s="110"/>
      <c r="BK98" s="50"/>
      <c r="BL98" s="49"/>
      <c r="BM98" s="35"/>
      <c r="BN98" s="35"/>
      <c r="BO98" s="35"/>
      <c r="BP98" s="35"/>
      <c r="BQ98" s="35"/>
      <c r="BR98" s="50"/>
      <c r="BS98" s="35"/>
      <c r="BT98" s="35"/>
      <c r="BU98" s="35"/>
      <c r="BV98" s="35"/>
      <c r="BW98" s="35"/>
      <c r="BX98" s="50"/>
      <c r="BY98" s="34"/>
      <c r="BZ98" s="43"/>
      <c r="CA98" s="43"/>
      <c r="CB98" s="158" t="str">
        <f t="shared" si="107"/>
        <v/>
      </c>
      <c r="AOE98" s="28"/>
    </row>
    <row r="99" spans="1:80 1071:1071" s="27" customFormat="1">
      <c r="A99" s="32">
        <f t="shared" si="108"/>
        <v>95</v>
      </c>
      <c r="B99" s="32"/>
      <c r="C99" s="32" t="s">
        <v>126</v>
      </c>
      <c r="D99" s="32"/>
      <c r="E99" s="34" t="s">
        <v>101</v>
      </c>
      <c r="F99" s="34" t="str">
        <f t="shared" si="111"/>
        <v/>
      </c>
      <c r="G99" s="34" t="str">
        <f t="shared" si="94"/>
        <v/>
      </c>
      <c r="H99" s="116" t="str">
        <f t="shared" si="104"/>
        <v/>
      </c>
      <c r="I99" s="36" t="str">
        <f t="shared" si="101"/>
        <v/>
      </c>
      <c r="J99" s="36" t="str">
        <f t="shared" si="105"/>
        <v/>
      </c>
      <c r="K99" s="116" t="str">
        <f t="shared" si="102"/>
        <v/>
      </c>
      <c r="L99" s="36"/>
      <c r="M99" s="136" t="str">
        <f t="shared" si="109"/>
        <v/>
      </c>
      <c r="N99" s="116" t="str">
        <f t="shared" si="106"/>
        <v/>
      </c>
      <c r="O99" s="129" t="str">
        <f t="shared" si="112"/>
        <v/>
      </c>
      <c r="P99" s="37" t="str">
        <f>IF(Y99&lt;&gt;"x","",j_opn&amp;"id"&amp;j_sep&amp;A99 &amp; j_nxt&amp;label_deepfake_name &amp; j_sep &amp; AH99 &amp; j_nxt&amp; "type" &amp; j_sep &amp; label_meat &amp; j_nxt&amp; "channel" &amp;j_sep&amp;Z99&amp;j_nxt&amp;label_role&amp;j_sep&amp;AE99&amp;j_nxt&amp;label_text&amp;j_sep&amp;AF99&amp;j_nxt&amp;label_gpt_emo&amp;j_sep&amp;BD99&amp;j_nxt&amp;label_gpt_tone&amp;j_sep&amp;BE99&amp;j_nxt&amp;label_animate&amp;j_sub_opn&amp;label_pre&amp;j_sep&amp;IF(do_anim=FALSE,"",BG99)&amp;j_nxt&amp;label_post&amp;j_sep&amp;IF(do_anim="","",BH99)&amp;j_nxt&amp;label_next_state&amp;j_sep&amp;BI99&amp;J_sub_cls&amp;label_azure&amp;j_sub_opn&amp;label_style&amp;j_sep&amp;BL99&amp;j_nxt&amp;label_degree&amp;J_sep_num&amp;BM99&amp;j_nxt_num&amp;label_pause&amp;J_sep_num&amp;BN99&amp;j_nxt_num&amp;label_pitch&amp;J_sep_num&amp;BO99&amp;j_nxt_num&amp;label_rate&amp;J_sep_num&amp;BP99&amp;j_nxt_num&amp;label_volume&amp;J_sep_num&amp;BQ99&amp;j_sub_cls_num&amp;label_emotion&amp;j_sub_opn&amp;label_sad&amp;J_sep_num&amp;BS99&amp;j_nxt_num&amp;label_joy&amp;J_sep_num&amp;BT99&amp;j_nxt_num&amp;label_fear&amp;J_sep_num&amp;BU99&amp;j_nxt_num&amp;label_disgust&amp;J_sep_num&amp;BV99&amp;j_nxt_num&amp;label_anger&amp;J_sep_num&amp;BW99&amp;j_sub_cls_num&amp;label_sg&amp;j_sub_opn&amp;label_mood&amp;j_sep&amp;BY99&amp;j_nxt&amp;label_scale&amp;J_sep_num&amp;BZ99&amp;j_end_num)</f>
        <v>{"id":"95","name":"get_a_grip","type":"meat","channel":"say","role":"mask","text":"Dry your droopy green eyes and get a grip on yourself!","gpt_emotion":"","gpt_tone":"","animate":{"pre":"","post":"","next_state":""},"azure":{"style":"","degree":0,"pause":0,"pitch":0,"rate":0,"volume":0},"emotion":{"sadness":-1,"joy":-1,"fear":-1,"disgust":-1,"anger":-1},"sgcom":{"mood":"","scale":-1}}</v>
      </c>
      <c r="Q99" s="37" t="str">
        <f t="shared" si="110"/>
        <v/>
      </c>
      <c r="R99" s="141"/>
      <c r="S99" s="148" t="str">
        <f t="shared" si="115"/>
        <v>mask_spoke</v>
      </c>
      <c r="T99" s="137" t="str">
        <f t="shared" si="98"/>
        <v>{"words-in" : { "entity" : "Eliza"} }</v>
      </c>
      <c r="U99" s="45"/>
      <c r="V99" s="35" t="str">
        <f>IF(OR(P99="",Y99=""),"",osc_exe_npmosc&amp;" --host "&amp;osc_ip&amp;":"&amp;osc_port_control&amp;" "&amp; osc_channel_meat_stub &amp; "  " &amp; j_qot &amp;X99 &amp; j_qot)</f>
        <v>/opt/homebrew/bin/osc --host 10.10.10.10:5918 /meat  "{#Qid#Q:#Q95#Q#C#Qname#Q:#Qget_a_grip#Q#C#Qtype#Q:#Qmeat#Q#C#Qchannel#Q:#Qsay#Q#C#Qrole#Q:#Qmask#Q#C#Qtext#Q:#QDry#Syour#Sdroopy#Sgreen#Seyes#Sand#Sget#Sa#Sgrip#Son#Syourself!#Q#C#Qgpt_emotion#Q:#Q#Q#C#Qgpt_tone#Q:#Q#Q#C#Qanimate#Q:{#Qpre#Q:#Q#Q#C#Qpost#Q:#Q#Q#C#Qnext_state#Q:#Q#Q}#C#Qazure#Q:{#Qstyle#Q:#Q#Q#C#Qdegree#Q:0#C#Qpause#Q:0#C#Qpitch#Q:0#C#Qrate#Q:0#C#Qvolume#Q:0}#C#Qemotion#Q:{#Qsadness#Q:-1#C#Qjoy#Q:-1#C#Qfear#Q:-1#C#Qdisgust#Q:-1#C#Qanger#Q:-1}#C#Qsgcom#Q:{#Qmood#Q:#Q#Q#C#Qscale#Q:-1}}"</v>
      </c>
      <c r="W99" s="36" t="str">
        <f t="shared" si="113"/>
        <v>/opt/homebrew/bin/sendosc 10.10.10.10 5918 say s {\"id\":\"95\",\"name\":\"get_a_grip\",\"type\":\"meat\",\"channel\":\"say\",\"role\":\"mask\",\"text\":\"Dry\ your\ droopy\ green\ eyes\ and\ get\ a\ grip\ on\ yourself!\",\"gpt_emotion\":\"\",\"gpt_tone\":\"\",\"animate\":{\"pre\":\"\",\"post\":\"\",\"next_state\":\"\"\},\"azure\":{\"style\":\"\",\"degree\":0,\"pause\":0,\"pitch\":0,\"rate\":0,\"volume\":0\},\"emotion\":{\"sadness\":-1,\"joy\":-1,\"fear\":-1,\"disgust\":-1,\"anger\":-1\},\"sgcom\":{\"mood\":\"\",\"scale\":-1\}\}</v>
      </c>
      <c r="X99" s="36" t="str">
        <f t="shared" si="114"/>
        <v>{#Qid#Q:#Q95#Q#C#Qname#Q:#Qget_a_grip#Q#C#Qtype#Q:#Qmeat#Q#C#Qchannel#Q:#Qsay#Q#C#Qrole#Q:#Qmask#Q#C#Qtext#Q:#QDry#Syour#Sdroopy#Sgreen#Seyes#Sand#Sget#Sa#Sgrip#Son#Syourself!#Q#C#Qgpt_emotion#Q:#Q#Q#C#Qgpt_tone#Q:#Q#Q#C#Qanimate#Q:{#Qpre#Q:#Q#Q#C#Qpost#Q:#Q#Q#C#Qnext_state#Q:#Q#Q}#C#Qazure#Q:{#Qstyle#Q:#Q#Q#C#Qdegree#Q:0#C#Qpause#Q:0#C#Qpitch#Q:0#C#Qrate#Q:0#C#Qvolume#Q:0}#C#Qemotion#Q:{#Qsadness#Q:-1#C#Qjoy#Q:-1#C#Qfear#Q:-1#C#Qdisgust#Q:-1#C#Qanger#Q:-1}#C#Qsgcom#Q:{#Qmood#Q:#Q#Q#C#Qscale#Q:-1}}</v>
      </c>
      <c r="Y99" s="40" t="s">
        <v>102</v>
      </c>
      <c r="Z99" s="36" t="str">
        <f t="shared" si="93"/>
        <v>say</v>
      </c>
      <c r="AA99" s="36"/>
      <c r="AB99" s="36" t="str" cm="1">
        <f t="array" ref="AB99">IF(C99="observe",channel_av_observe,"") &amp; IF(C99="register",channel_av_register,"")  &amp; IF(C99="listen",channel_av_listen,"")</f>
        <v/>
      </c>
      <c r="AC99" s="36" t="str">
        <f t="shared" si="99"/>
        <v/>
      </c>
      <c r="AD99" s="36" t="str">
        <f t="shared" si="100"/>
        <v/>
      </c>
      <c r="AE99" s="42" t="s">
        <v>103</v>
      </c>
      <c r="AF99" s="37" t="s">
        <v>264</v>
      </c>
      <c r="AG99" s="37"/>
      <c r="AH99" s="66" t="s">
        <v>265</v>
      </c>
      <c r="AI99" s="66"/>
      <c r="AJ99" s="114">
        <f>A99</f>
        <v>95</v>
      </c>
      <c r="AK99" s="56" t="str">
        <f t="shared" si="88"/>
        <v>095_get_a_grip</v>
      </c>
      <c r="AL99" s="66"/>
      <c r="AM99" s="133"/>
      <c r="AN99" s="66"/>
      <c r="AO99" s="66"/>
      <c r="AP99" s="66"/>
      <c r="AQ99" s="66"/>
      <c r="AR99" s="66"/>
      <c r="AS99" s="66"/>
      <c r="AT99" s="66"/>
      <c r="AU99" s="66"/>
      <c r="AV99" s="66"/>
      <c r="AW99" s="66"/>
      <c r="AX99" s="66"/>
      <c r="AY99" s="66"/>
      <c r="AZ99" s="66"/>
      <c r="BA99" s="66"/>
      <c r="BB99" s="66"/>
      <c r="BC99" s="67"/>
      <c r="BD99" s="42"/>
      <c r="BE99" s="42"/>
      <c r="BF99" s="67"/>
      <c r="BG99" s="108"/>
      <c r="BH99" s="108"/>
      <c r="BI99" s="108" t="s">
        <v>77</v>
      </c>
      <c r="BJ99" s="110"/>
      <c r="BK99" s="67"/>
      <c r="BL99" s="42"/>
      <c r="BM99" s="35">
        <v>0</v>
      </c>
      <c r="BN99" s="35">
        <v>0</v>
      </c>
      <c r="BO99" s="35">
        <v>0</v>
      </c>
      <c r="BP99" s="35">
        <v>0</v>
      </c>
      <c r="BQ99" s="35">
        <v>0</v>
      </c>
      <c r="BR99" s="67"/>
      <c r="BS99" s="35">
        <v>-1</v>
      </c>
      <c r="BT99" s="35">
        <v>-1</v>
      </c>
      <c r="BU99" s="35">
        <v>-1</v>
      </c>
      <c r="BV99" s="35">
        <v>-1</v>
      </c>
      <c r="BW99" s="35">
        <v>-1</v>
      </c>
      <c r="BX99" s="67"/>
      <c r="BY99" s="34"/>
      <c r="BZ99" s="43" t="s">
        <v>165</v>
      </c>
      <c r="CA99" s="43" t="s">
        <v>165</v>
      </c>
      <c r="CB99" s="158" t="str">
        <f t="shared" si="107"/>
        <v>{"azure":{"style":"","degree":0,"pause":0,"pitch":0,"rate":0,"volume":0},"emotion":{"sadness":-1,"joy":-1,"fear":-1,"disgust":-1,"anger":-1},"sgcom":{"mood":"","scale":-1}}</v>
      </c>
      <c r="AOE99" s="28"/>
    </row>
    <row r="100" spans="1:80 1071:1071" s="27" customFormat="1">
      <c r="A100" s="32">
        <f t="shared" si="108"/>
        <v>96</v>
      </c>
      <c r="B100" s="32"/>
      <c r="C100" s="32" t="s">
        <v>100</v>
      </c>
      <c r="D100" s="32"/>
      <c r="E100" s="34" t="s">
        <v>101</v>
      </c>
      <c r="F100" s="34" t="str">
        <f t="shared" si="111"/>
        <v/>
      </c>
      <c r="G100" s="34" t="str">
        <f t="shared" si="94"/>
        <v>mute</v>
      </c>
      <c r="H100" s="116" t="str">
        <f t="shared" si="104"/>
        <v>{"av-command": "stt-control", "data": {"listening": false}}</v>
      </c>
      <c r="I100" s="36" t="str">
        <f t="shared" si="101"/>
        <v/>
      </c>
      <c r="J100" s="36" t="str">
        <f t="shared" si="105"/>
        <v/>
      </c>
      <c r="K100" s="116" t="str">
        <f t="shared" si="102"/>
        <v/>
      </c>
      <c r="L100" s="36"/>
      <c r="M100" s="136" t="str">
        <f t="shared" si="109"/>
        <v>speak</v>
      </c>
      <c r="N100" s="116" t="str">
        <f t="shared" si="106"/>
        <v>{ "command": "speak", "entity": "Eliza", "data" : { "text" : "%text"}}</v>
      </c>
      <c r="O100" s="129" t="str">
        <f t="shared" si="112"/>
        <v>{ "command": "speak", "entity": "Eliza", "data" : { "text" : "Like [prosody pitch=30 rate=-100]he [/prosody][prosody pitch=-10]does[/prosody]."}}</v>
      </c>
      <c r="P100" s="37" t="str">
        <f>IF(Y100&lt;&gt;"x","",j_opn&amp;"id"&amp;j_sep&amp;A100 &amp; j_nxt&amp;label_deepfake_name &amp; j_sep &amp; AH100 &amp; j_nxt&amp; "type" &amp; j_sep &amp; label_meat &amp; j_nxt&amp; "channel" &amp;j_sep&amp;Z100&amp;j_nxt&amp;label_role&amp;j_sep&amp;AE100&amp;j_nxt&amp;label_text&amp;j_sep&amp;AF100&amp;j_nxt&amp;label_gpt_emo&amp;j_sep&amp;BD100&amp;j_nxt&amp;label_gpt_tone&amp;j_sep&amp;BE100&amp;j_nxt&amp;label_animate&amp;j_sub_opn&amp;label_pre&amp;j_sep&amp;IF(do_anim=FALSE,"",BG100)&amp;j_nxt&amp;label_post&amp;j_sep&amp;IF(do_anim="","",BH100)&amp;j_nxt&amp;label_next_state&amp;j_sep&amp;BI100&amp;J_sub_cls&amp;label_azure&amp;j_sub_opn&amp;label_style&amp;j_sep&amp;BL100&amp;j_nxt&amp;label_degree&amp;J_sep_num&amp;BM100&amp;j_nxt_num&amp;label_pause&amp;J_sep_num&amp;BN100&amp;j_nxt_num&amp;label_pitch&amp;J_sep_num&amp;BO100&amp;j_nxt_num&amp;label_rate&amp;J_sep_num&amp;BP100&amp;j_nxt_num&amp;label_volume&amp;J_sep_num&amp;BQ100&amp;j_sub_cls_num&amp;label_emotion&amp;j_sub_opn&amp;label_sad&amp;J_sep_num&amp;BS100&amp;j_nxt_num&amp;label_joy&amp;J_sep_num&amp;BT100&amp;j_nxt_num&amp;label_fear&amp;J_sep_num&amp;BU100&amp;j_nxt_num&amp;label_disgust&amp;J_sep_num&amp;BV100&amp;j_nxt_num&amp;label_anger&amp;J_sep_num&amp;BW100&amp;j_sub_cls_num&amp;label_sg&amp;j_sub_opn&amp;label_mood&amp;j_sep&amp;BY100&amp;j_nxt&amp;label_scale&amp;J_sep_num&amp;BZ100&amp;j_end_num)</f>
        <v>{"id":"96","name":"","type":"meat","channel":"say","role":"mask","text":"Like [prosody pitch=30 rate=-100]he [/prosody][prosody pitch=-10]does[/prosody].","gpt_emotion":"","gpt_tone":"","animate":{"pre":"discoverfake","post":"","next_state":""},"azure":{"style":"Angry","degree":1,"pause":0,"pitch":0,"rate":-5,"volume":0},"emotion":{"sadness":-1,"joy":-1,"fear":-1,"disgust":-1,"anger":0.5},"sgcom":{"mood":"","scale":-1}}</v>
      </c>
      <c r="Q100" s="37" t="str">
        <f t="shared" si="110"/>
        <v>{"id":"96","name":"","type":"meat","channel":"say","role":"mask","text":"Like [prosody pitch=30 rate=-100]he [/prosody][prosody pitch=-10]does[/prosody].","gpt_emotion":"","gpt_tone":"","animate":{"pre":"discoverfake","post":"","next_state":""},"azure":{"style":"Angry","degree":1,"pause":0,"pitch":0,"rate":-5,"volume":0},"emotion":{"sadness":-1,"joy":-1,"fear":-1,"disgust":-1,"anger":0.5},"sgcom":{"mood":"","scale":-1}}</v>
      </c>
      <c r="R100" s="141"/>
      <c r="S100" s="148" t="str">
        <f t="shared" si="115"/>
        <v>mask_spoke</v>
      </c>
      <c r="T100" s="137" t="str">
        <f t="shared" si="98"/>
        <v>{"words-in" : { "entity" : "Eliza"} }</v>
      </c>
      <c r="U100" s="45"/>
      <c r="V100" s="35" t="str">
        <f>IF(OR(P100="",Y100=""),"",osc_exe_npmosc&amp;" --host "&amp;osc_ip&amp;":"&amp;osc_port_control&amp;" "&amp; osc_channel_meat_stub &amp; "  " &amp; j_qot &amp;X100 &amp; j_qot)</f>
        <v>/opt/homebrew/bin/osc --host 10.10.10.10:5918 /meat  "{#Qid#Q:#Q96#Q#C#Qname#Q:#Q#Q#C#Qtype#Q:#Qmeat#Q#C#Qchannel#Q:#Qsay#Q#C#Qrole#Q:#Qmask#Q#C#Qtext#Q:#QLike#S[prosody#Spitch=30#Srate=-100]he#S[/prosody][prosody#Spitch=-10]does[/prosody].#Q#C#Qgpt_emotion#Q:#Q#Q#C#Qgpt_tone#Q:#Q#Q#C#Qanimate#Q:{#Qpre#Q:#Qdiscoverfake#Q#C#Qpost#Q:#Q#Q#C#Qnext_state#Q:#Q#Q}#C#Qazure#Q:{#Qstyle#Q:#QAngry#Q#C#Qdegree#Q:1#C#Qpause#Q:0#C#Qpitch#Q:0#C#Qrate#Q:-5#C#Qvolume#Q:0}#C#Qemotion#Q:{#Qsadness#Q:-1#C#Qjoy#Q:-1#C#Qfear#Q:-1#C#Qdisgust#Q:-1#C#Qanger#Q:0.5}#C#Qsgcom#Q:{#Qmood#Q:#Q#Q#C#Qscale#Q:-1}}"</v>
      </c>
      <c r="W100" s="36" t="str">
        <f t="shared" si="113"/>
        <v>/opt/homebrew/bin/sendosc 10.10.10.10 5918 say s {\"id\":\"96\",\"name\":\"\",\"type\":\"meat\",\"channel\":\"say\",\"role\":\"mask\",\"text\":\"Like\ [prosody\ pitch=30\ rate=-100]he\ [/prosody][prosody\ pitch=-10]does[/prosody].\",\"gpt_emotion\":\"\",\"gpt_tone\":\"\",\"animate\":{\"pre\":\"discoverfake\",\"post\":\"\",\"next_state\":\"\"\},\"azure\":{\"style\":\"Angry\",\"degree\":1,\"pause\":0,\"pitch\":0,\"rate\":-5,\"volume\":0\},\"emotion\":{\"sadness\":-1,\"joy\":-1,\"fear\":-1,\"disgust\":-1,\"anger\":0.5\},\"sgcom\":{\"mood\":\"\",\"scale\":-1\}\}</v>
      </c>
      <c r="X100" s="36" t="str">
        <f t="shared" si="114"/>
        <v>{#Qid#Q:#Q96#Q#C#Qname#Q:#Q#Q#C#Qtype#Q:#Qmeat#Q#C#Qchannel#Q:#Qsay#Q#C#Qrole#Q:#Qmask#Q#C#Qtext#Q:#QLike#S[prosody#Spitch=30#Srate=-100]he#S[/prosody][prosody#Spitch=-10]does[/prosody].#Q#C#Qgpt_emotion#Q:#Q#Q#C#Qgpt_tone#Q:#Q#Q#C#Qanimate#Q:{#Qpre#Q:#Qdiscoverfake#Q#C#Qpost#Q:#Q#Q#C#Qnext_state#Q:#Q#Q}#C#Qazure#Q:{#Qstyle#Q:#QAngry#Q#C#Qdegree#Q:1#C#Qpause#Q:0#C#Qpitch#Q:0#C#Qrate#Q:-5#C#Qvolume#Q:0}#C#Qemotion#Q:{#Qsadness#Q:-1#C#Qjoy#Q:-1#C#Qfear#Q:-1#C#Qdisgust#Q:-1#C#Qanger#Q:0.5}#C#Qsgcom#Q:{#Qmood#Q:#Q#Q#C#Qscale#Q:-1}}</v>
      </c>
      <c r="Y100" s="40" t="s">
        <v>102</v>
      </c>
      <c r="Z100" s="36" t="str">
        <f t="shared" ref="Z100:Z131" si="116">IF(Y100&lt;&gt;"x","",IF(OR(C100="speak",C100="speak_gpt",C100="screen_azurevoice"),osc_channel_meat_say,IF(C100="play",osc_channel_meat_play,IF(C100="faketomask",osc_channel_meat_fake,IF(C100="state",osc_channel_meat_state,"")))))</f>
        <v>say</v>
      </c>
      <c r="AA100" s="36"/>
      <c r="AB100" s="36" t="str" cm="1">
        <f t="array" ref="AB100">IF(C100="observe",channel_av_observe,"") &amp; IF(C100="register",channel_av_register,"")  &amp; IF(C100="listen",channel_av_listen,"")</f>
        <v/>
      </c>
      <c r="AC100" s="36" t="str">
        <f t="shared" si="99"/>
        <v/>
      </c>
      <c r="AD100" s="36" t="str">
        <f t="shared" si="100"/>
        <v/>
      </c>
      <c r="AE100" s="42" t="s">
        <v>103</v>
      </c>
      <c r="AF100" s="37" t="s">
        <v>266</v>
      </c>
      <c r="AG100" s="37"/>
      <c r="AH100" s="37"/>
      <c r="AI100" s="37"/>
      <c r="AJ100" s="37"/>
      <c r="AK100" s="56" t="str">
        <f t="shared" si="88"/>
        <v/>
      </c>
      <c r="AL100" s="37"/>
      <c r="AM100" s="133"/>
      <c r="AN100" s="37"/>
      <c r="AO100" s="37"/>
      <c r="AP100" s="37"/>
      <c r="AQ100" s="37"/>
      <c r="AR100" s="37"/>
      <c r="AS100" s="37"/>
      <c r="AT100" s="37"/>
      <c r="AU100" s="37"/>
      <c r="AV100" s="37"/>
      <c r="AW100" s="37"/>
      <c r="AX100" s="37"/>
      <c r="AY100" s="37"/>
      <c r="AZ100" s="37"/>
      <c r="BA100" s="37"/>
      <c r="BB100" s="37"/>
      <c r="BC100" s="41"/>
      <c r="BD100" s="42"/>
      <c r="BE100" s="42"/>
      <c r="BF100" s="41"/>
      <c r="BG100" s="104" t="s">
        <v>267</v>
      </c>
      <c r="BH100" s="104"/>
      <c r="BI100" s="108" t="s">
        <v>77</v>
      </c>
      <c r="BJ100" s="110"/>
      <c r="BK100" s="41"/>
      <c r="BL100" s="42" t="s">
        <v>268</v>
      </c>
      <c r="BM100" s="35">
        <v>1</v>
      </c>
      <c r="BN100" s="35">
        <v>0</v>
      </c>
      <c r="BO100" s="35">
        <v>0</v>
      </c>
      <c r="BP100" s="35">
        <v>-5</v>
      </c>
      <c r="BQ100" s="35">
        <v>0</v>
      </c>
      <c r="BR100" s="41"/>
      <c r="BS100" s="35">
        <v>-1</v>
      </c>
      <c r="BT100" s="35">
        <v>-1</v>
      </c>
      <c r="BU100" s="35">
        <v>-1</v>
      </c>
      <c r="BV100" s="35">
        <v>-1</v>
      </c>
      <c r="BW100" s="35" t="s">
        <v>107</v>
      </c>
      <c r="BX100" s="41"/>
      <c r="BY100" s="34"/>
      <c r="BZ100" s="43" t="s">
        <v>165</v>
      </c>
      <c r="CA100" s="43" t="s">
        <v>165</v>
      </c>
      <c r="CB100" s="158" t="str">
        <f t="shared" si="107"/>
        <v>{"azure":{"style":"Angry","degree":1,"pause":0,"pitch":0,"rate":-5,"volume":0},"emotion":{"sadness":-1,"joy":-1,"fear":-1,"disgust":-1,"anger":0.5},"sgcom":{"mood":"","scale":-1}}</v>
      </c>
      <c r="AOE100" s="28"/>
    </row>
    <row r="101" spans="1:80 1071:1071" s="27" customFormat="1">
      <c r="A101" s="32">
        <f>A100+1</f>
        <v>97</v>
      </c>
      <c r="B101" s="32">
        <v>7</v>
      </c>
      <c r="C101" s="32" t="s">
        <v>73</v>
      </c>
      <c r="D101" s="32"/>
      <c r="E101" s="34" t="s">
        <v>269</v>
      </c>
      <c r="F101" s="34" t="str">
        <f t="shared" si="111"/>
        <v/>
      </c>
      <c r="G101" s="34" t="str">
        <f t="shared" ref="G101" si="117">IF(F101&lt;&gt;"",F101, IF(C101="listen","unmute","") &amp; IF(OR(C101="speak",C101="maketext",C101="play",C101="screen"),"mute","") )</f>
        <v/>
      </c>
      <c r="H101" s="116" t="str">
        <f t="shared" ref="H101" si="118">IFERROR(LOOKUP(G101, table_observe_commands),"")</f>
        <v/>
      </c>
      <c r="I101" s="36" t="str">
        <f t="shared" ref="I101" si="119">IF(C101="screen","fakeplay","") &amp; IF(C101="mood","mood","") &amp; IF(C101="fakemake","fakemake","")</f>
        <v>mood</v>
      </c>
      <c r="J101" s="36" t="str">
        <f t="shared" ref="J101" si="120">IFERROR(LOOKUP(I101, table_td_commands),"")</f>
        <v>{"command" : "mood","id":%id,"mood_num":"%mood_num"}</v>
      </c>
      <c r="K101" s="116" t="str">
        <f t="shared" ref="K101" si="121">SUBSTITUTE(SUBSTITUTE(SUBSTITUTE(SUBSTITUTE(SUBSTITUTE(J101,"%id",A101),"%screens",D101),"%data",IF(P101="","{}",P101)),"%mood_num",B101),"%sound_name",AK101)</f>
        <v>{"command" : "mood","id":97,"mood_num":"7"}</v>
      </c>
      <c r="L101" s="36"/>
      <c r="M101" s="136" t="str">
        <f t="shared" ref="M101" si="122">IF(L101&lt;&gt;"",L101,IF(C101="maketext","unmute","")&amp;IF(C101="speak","speak","")&amp;IF(C101="listen","mute",""))</f>
        <v/>
      </c>
      <c r="N101" s="116" t="str">
        <f t="shared" ref="N101" si="123">IFERROR(LOOKUP(M101, table_bot_commands),"")</f>
        <v/>
      </c>
      <c r="O101" s="129" t="str">
        <f t="shared" si="112"/>
        <v/>
      </c>
      <c r="P101" s="81"/>
      <c r="Q101" s="37" t="str">
        <f t="shared" si="110"/>
        <v/>
      </c>
      <c r="R101" s="141">
        <v>0</v>
      </c>
      <c r="S101" s="148">
        <f t="shared" si="115"/>
        <v>0</v>
      </c>
      <c r="T101" s="137">
        <f t="shared" ref="T101" si="124">IFERROR(LOOKUP(S101,table_triggers),S101)</f>
        <v>0</v>
      </c>
      <c r="U101" s="45"/>
      <c r="V101" s="35" t="str">
        <f>IF(OR(P101="",Y101=""),"",osc_exe_npmosc&amp;" --host "&amp;osc_ip&amp;":"&amp;osc_port_control&amp;" "&amp;Z101&amp; "  " &amp; j_qot &amp;X101 &amp; j_qot)</f>
        <v/>
      </c>
      <c r="W101" s="36" t="str">
        <f t="shared" si="113"/>
        <v/>
      </c>
      <c r="X101" s="36" t="str">
        <f t="shared" si="114"/>
        <v/>
      </c>
      <c r="Y101" s="34"/>
      <c r="Z101" s="36" t="str">
        <f t="shared" si="116"/>
        <v/>
      </c>
      <c r="AA101" s="36"/>
      <c r="AB101" s="36" t="str" cm="1">
        <f t="array" ref="AB101">IF(C101="observe",channel_av_observe,"") &amp; IF(C101="register",channel_av_register,"")  &amp; IF(C101="listen",channel_av_listen,"")</f>
        <v/>
      </c>
      <c r="AC101" s="36" t="str">
        <f t="shared" ref="AC101" si="125">IF(C101="mood",channel_td_mood,"") &amp; IF(C101="makefakes_td",channel_td_makefakes,"") &amp; IF(C101="pause",channel_td_pause,"")  &amp; IF(C101="screen",channel_td_screen,"")</f>
        <v>/mood</v>
      </c>
      <c r="AD101" s="36" t="str">
        <f t="shared" ref="AD101" si="126">IF(C101="maketext",channel_bw_generate,"")</f>
        <v/>
      </c>
      <c r="AE101" s="42"/>
      <c r="AF101" s="35"/>
      <c r="AG101" s="35"/>
      <c r="AH101" s="35"/>
      <c r="AI101" s="35"/>
      <c r="AJ101" s="35"/>
      <c r="AK101" s="56" t="str">
        <f t="shared" ref="AK101" si="127">IF(AH101="","",TEXT(SUBSTITUTE(AJ101," ","_"),"000") &amp; "_" &amp; AH101)</f>
        <v/>
      </c>
      <c r="AL101" s="35"/>
      <c r="AM101" s="133"/>
      <c r="AN101" s="35"/>
      <c r="AO101" s="35"/>
      <c r="AP101" s="35"/>
      <c r="AQ101" s="35"/>
      <c r="AR101" s="35"/>
      <c r="AS101" s="35"/>
      <c r="AT101" s="35"/>
      <c r="AU101" s="35"/>
      <c r="AV101" s="35"/>
      <c r="AW101" s="35"/>
      <c r="AX101" s="35"/>
      <c r="AY101" s="35"/>
      <c r="AZ101" s="35"/>
      <c r="BA101" s="35"/>
      <c r="BB101" s="35"/>
      <c r="BC101" s="44"/>
      <c r="BD101" s="42"/>
      <c r="BE101" s="35"/>
      <c r="BF101" s="44"/>
      <c r="BG101" s="108"/>
      <c r="BH101" s="108"/>
      <c r="BI101" s="108" t="s">
        <v>77</v>
      </c>
      <c r="BJ101" s="110"/>
      <c r="BK101" s="44"/>
      <c r="BL101" s="35"/>
      <c r="BM101" s="35"/>
      <c r="BN101" s="35"/>
      <c r="BO101" s="35"/>
      <c r="BP101" s="35"/>
      <c r="BQ101" s="35"/>
      <c r="BR101" s="44"/>
      <c r="BS101" s="35"/>
      <c r="BT101" s="35"/>
      <c r="BU101" s="35"/>
      <c r="BV101" s="35"/>
      <c r="BW101" s="35"/>
      <c r="BX101" s="44"/>
      <c r="BY101" s="34"/>
      <c r="BZ101" s="43"/>
      <c r="CA101" s="43"/>
      <c r="CB101" s="158" t="str">
        <f t="shared" si="107"/>
        <v/>
      </c>
      <c r="AOE101" s="28"/>
    </row>
    <row r="102" spans="1:80 1071:1071" s="27" customFormat="1">
      <c r="A102" s="32">
        <f>A101+1</f>
        <v>98</v>
      </c>
      <c r="B102" s="32"/>
      <c r="C102" s="32" t="s">
        <v>85</v>
      </c>
      <c r="D102" s="32"/>
      <c r="E102" s="34" t="s">
        <v>270</v>
      </c>
      <c r="F102" s="34" t="str">
        <f t="shared" si="111"/>
        <v/>
      </c>
      <c r="G102" s="34" t="str">
        <f t="shared" si="94"/>
        <v/>
      </c>
      <c r="H102" s="116" t="str">
        <f t="shared" si="104"/>
        <v/>
      </c>
      <c r="I102" s="36" t="str">
        <f t="shared" si="101"/>
        <v/>
      </c>
      <c r="J102" s="36" t="str">
        <f t="shared" si="105"/>
        <v/>
      </c>
      <c r="K102" s="116" t="str">
        <f t="shared" si="102"/>
        <v/>
      </c>
      <c r="L102" s="36"/>
      <c r="M102" s="136" t="str">
        <f t="shared" si="109"/>
        <v/>
      </c>
      <c r="N102" s="116" t="str">
        <f t="shared" si="106"/>
        <v/>
      </c>
      <c r="O102" s="129" t="str">
        <f t="shared" si="112"/>
        <v/>
      </c>
      <c r="P102" s="81"/>
      <c r="Q102" s="37"/>
      <c r="R102" t="s">
        <v>239</v>
      </c>
      <c r="S102" s="148" t="str">
        <f t="shared" si="115"/>
        <v>user_faceaway</v>
      </c>
      <c r="T102" s="137" t="str">
        <f t="shared" si="98"/>
        <v>{"av" : {"av-command": "vision-facing-cam-update", "data": {"facing_camera": false}}}</v>
      </c>
      <c r="U102" s="45"/>
      <c r="V102" s="35" t="str">
        <f>IF(OR(P102="",Y102=""),"",osc_exe_npmosc&amp;" --host "&amp;osc_ip&amp;":"&amp;osc_port_control&amp;" "&amp;Z102&amp; "  " &amp; j_qot &amp;X102 &amp; j_qot)</f>
        <v/>
      </c>
      <c r="W102" s="36" t="str">
        <f t="shared" si="113"/>
        <v/>
      </c>
      <c r="X102" s="36" t="str">
        <f t="shared" si="114"/>
        <v/>
      </c>
      <c r="Y102" s="34"/>
      <c r="Z102" s="36" t="str">
        <f t="shared" si="116"/>
        <v/>
      </c>
      <c r="AA102" s="36"/>
      <c r="AB102" s="36" t="str" cm="1">
        <f t="array" ref="AB102">IF(C102="observe",channel_av_observe,"") &amp; IF(C102="register",channel_av_register,"")  &amp; IF(C102="listen",channel_av_listen,"")</f>
        <v>/observe</v>
      </c>
      <c r="AC102" s="36" t="str">
        <f t="shared" si="99"/>
        <v/>
      </c>
      <c r="AD102" s="36" t="str">
        <f t="shared" si="100"/>
        <v/>
      </c>
      <c r="AE102" s="42"/>
      <c r="AF102" s="35"/>
      <c r="AG102" s="35"/>
      <c r="AH102" s="35"/>
      <c r="AI102" s="35"/>
      <c r="AJ102" s="35"/>
      <c r="AK102" s="56" t="str">
        <f t="shared" si="88"/>
        <v/>
      </c>
      <c r="AL102" s="35"/>
      <c r="AM102" s="133"/>
      <c r="AN102" s="35"/>
      <c r="AO102" s="35"/>
      <c r="AP102" s="35"/>
      <c r="AQ102" s="35"/>
      <c r="AR102" s="35"/>
      <c r="AS102" s="35"/>
      <c r="AT102" s="35"/>
      <c r="AU102" s="35"/>
      <c r="AV102" s="35"/>
      <c r="AW102" s="35"/>
      <c r="AX102" s="35"/>
      <c r="AY102" s="35"/>
      <c r="AZ102" s="35"/>
      <c r="BA102" s="35"/>
      <c r="BB102" s="35"/>
      <c r="BC102" s="44"/>
      <c r="BD102" s="42"/>
      <c r="BE102" s="35"/>
      <c r="BF102" s="44"/>
      <c r="BG102" s="108"/>
      <c r="BH102" s="108"/>
      <c r="BI102" s="108" t="s">
        <v>77</v>
      </c>
      <c r="BJ102" s="110"/>
      <c r="BK102" s="44"/>
      <c r="BL102" s="35"/>
      <c r="BM102" s="35"/>
      <c r="BN102" s="35"/>
      <c r="BO102" s="35"/>
      <c r="BP102" s="35"/>
      <c r="BQ102" s="35"/>
      <c r="BR102" s="44"/>
      <c r="BS102" s="35"/>
      <c r="BT102" s="35"/>
      <c r="BU102" s="35"/>
      <c r="BV102" s="35"/>
      <c r="BW102" s="35"/>
      <c r="BX102" s="44"/>
      <c r="BY102" s="34"/>
      <c r="BZ102" s="43"/>
      <c r="CA102" s="43"/>
      <c r="CB102" s="158" t="str">
        <f t="shared" si="107"/>
        <v/>
      </c>
      <c r="AOE102" s="28"/>
    </row>
    <row r="103" spans="1:80 1071:1071" s="27" customFormat="1">
      <c r="A103" s="32">
        <f t="shared" si="108"/>
        <v>99</v>
      </c>
      <c r="B103" s="32"/>
      <c r="C103" s="32" t="s">
        <v>236</v>
      </c>
      <c r="D103" s="63" t="s">
        <v>271</v>
      </c>
      <c r="E103" s="34" t="s">
        <v>237</v>
      </c>
      <c r="F103" s="34" t="str">
        <f t="shared" si="111"/>
        <v/>
      </c>
      <c r="G103" s="34" t="str">
        <f t="shared" si="94"/>
        <v>mute</v>
      </c>
      <c r="H103" s="116" t="str">
        <f t="shared" si="104"/>
        <v>{"av-command": "stt-control", "data": {"listening": false}}</v>
      </c>
      <c r="I103" s="36" t="str">
        <f t="shared" si="101"/>
        <v>fakeplay</v>
      </c>
      <c r="J103" s="36" t="str">
        <f t="shared" si="105"/>
        <v>{"command" : "playfake","id":%id,"screens":[%screens]}</v>
      </c>
      <c r="K103" s="116" t="str">
        <f t="shared" si="102"/>
        <v>{"command" : "playfake","id":99,"screens":[1]}</v>
      </c>
      <c r="L103" s="36"/>
      <c r="M103" s="136" t="str">
        <f t="shared" si="109"/>
        <v/>
      </c>
      <c r="N103" s="116" t="str">
        <f t="shared" si="106"/>
        <v/>
      </c>
      <c r="O103" s="129" t="str">
        <f t="shared" si="112"/>
        <v/>
      </c>
      <c r="P103" s="83" t="str">
        <f>"{""id"":" &amp; A103 &amp; ", ""screens"":[" &amp; D103 &amp; "]}"</f>
        <v>{"id":99, "screens":[1]}</v>
      </c>
      <c r="Q103" s="37" t="str">
        <f t="shared" ref="Q103:Q117" si="128">IF(AND(C103&lt;&gt;"speak_gpt",C103&lt;&gt;"faketomask"),P103,"") &amp; IF(C103="maketext",j_opn&amp;"id"&amp;j_sep&amp;A103 &amp; j_nxt &amp; "type" &amp; j_sep &amp; label_meat &amp; j_nxt&amp; "channel" &amp;j_sep  &amp; Z103&amp; j_nxt&amp; "state" &amp; j_sep &amp; "think" &amp; j_qot &amp; j_cls,"")</f>
        <v>{"id":99, "screens":[1]}</v>
      </c>
      <c r="R103" s="141"/>
      <c r="S103" s="148" t="str">
        <f t="shared" si="115"/>
        <v>clone_spoke</v>
      </c>
      <c r="T103" s="137" t="str">
        <f t="shared" ref="T103:T134" si="129">IFERROR(LOOKUP(S103,table_triggers),S103)</f>
        <v>{"words-in" : { "entity" : "deepfake"} }</v>
      </c>
      <c r="U103" s="45"/>
      <c r="V103" s="35" t="str">
        <f>osc_exe_npmosc&amp;" --host "&amp;osc_ip&amp;":"&amp;osc_port_control&amp;" "&amp;osc_channel_play_audio&amp;" "&amp;AL103</f>
        <v>/opt/homebrew/bin/osc --host 10.10.10.10:5918 /play/audio 099_we_should_listen.mp3</v>
      </c>
      <c r="W103" s="36" t="str">
        <f t="shared" si="113"/>
        <v/>
      </c>
      <c r="X103" s="36" t="str">
        <f t="shared" si="114"/>
        <v/>
      </c>
      <c r="Y103" s="34"/>
      <c r="Z103" s="36" t="str">
        <f t="shared" si="116"/>
        <v/>
      </c>
      <c r="AA103" s="36"/>
      <c r="AB103" s="36" t="str" cm="1">
        <f t="array" ref="AB103">IF(C103="observe",channel_av_observe,"") &amp; IF(C103="register",channel_av_register,"")  &amp; IF(C103="listen",channel_av_listen,"")</f>
        <v/>
      </c>
      <c r="AC103" s="36" t="str">
        <f t="shared" ref="AC103:AC122" si="130">IF(C103="mood",channel_td_mood,"") &amp; IF(C103="makefakes_td",channel_td_makefakes,"") &amp; IF(C103="pause",channel_td_pause,"")  &amp; IF(C103="screen",channel_td_screen,"")</f>
        <v>/screen</v>
      </c>
      <c r="AD103" s="36" t="str">
        <f t="shared" ref="AD103:AD122" si="131">IF(C103="maketext",channel_bw_generate,"")</f>
        <v/>
      </c>
      <c r="AE103" s="42"/>
      <c r="AF103" s="68" t="s">
        <v>272</v>
      </c>
      <c r="AG103" s="68"/>
      <c r="AH103" s="56"/>
      <c r="AI103" s="56"/>
      <c r="AJ103" s="56"/>
      <c r="AK103" s="56" t="str">
        <f t="shared" si="88"/>
        <v/>
      </c>
      <c r="AL103" s="56" t="str">
        <f>AL61</f>
        <v>099_we_should_listen.mp3</v>
      </c>
      <c r="AM103" s="133"/>
      <c r="AN103" s="56"/>
      <c r="AO103" s="56"/>
      <c r="AP103" s="56"/>
      <c r="AQ103" s="56"/>
      <c r="AR103" s="56"/>
      <c r="AS103" s="56"/>
      <c r="AT103" s="56"/>
      <c r="AU103" s="56"/>
      <c r="AV103" s="56"/>
      <c r="AW103" s="56"/>
      <c r="AX103" s="56"/>
      <c r="AY103" s="56"/>
      <c r="AZ103" s="56"/>
      <c r="BA103" s="56"/>
      <c r="BB103" s="56"/>
      <c r="BC103" s="58"/>
      <c r="BD103" s="42"/>
      <c r="BE103" s="35"/>
      <c r="BF103" s="58"/>
      <c r="BG103" s="108"/>
      <c r="BH103" s="108"/>
      <c r="BI103" s="108" t="s">
        <v>77</v>
      </c>
      <c r="BJ103" s="110"/>
      <c r="BK103" s="58"/>
      <c r="BL103" s="56"/>
      <c r="BM103" s="35"/>
      <c r="BN103" s="35"/>
      <c r="BO103" s="35"/>
      <c r="BP103" s="35"/>
      <c r="BQ103" s="35"/>
      <c r="BR103" s="58"/>
      <c r="BS103" s="35"/>
      <c r="BT103" s="35"/>
      <c r="BU103" s="35"/>
      <c r="BV103" s="35"/>
      <c r="BW103" s="35"/>
      <c r="BX103" s="58"/>
      <c r="BY103" s="34"/>
      <c r="BZ103" s="43"/>
      <c r="CA103" s="43"/>
      <c r="CB103" s="158" t="str">
        <f t="shared" si="107"/>
        <v/>
      </c>
      <c r="AOE103" s="28"/>
    </row>
    <row r="104" spans="1:80 1071:1071" s="27" customFormat="1">
      <c r="A104" s="32">
        <f t="shared" si="108"/>
        <v>100</v>
      </c>
      <c r="B104" s="32"/>
      <c r="C104" s="32" t="s">
        <v>236</v>
      </c>
      <c r="D104" s="32" t="s">
        <v>257</v>
      </c>
      <c r="E104" s="34" t="s">
        <v>237</v>
      </c>
      <c r="F104" s="34" t="str">
        <f t="shared" si="111"/>
        <v/>
      </c>
      <c r="G104" s="34" t="str">
        <f t="shared" si="94"/>
        <v>mute</v>
      </c>
      <c r="H104" s="116" t="str">
        <f t="shared" si="104"/>
        <v>{"av-command": "stt-control", "data": {"listening": false}}</v>
      </c>
      <c r="I104" s="36" t="str">
        <f t="shared" si="101"/>
        <v>fakeplay</v>
      </c>
      <c r="J104" s="36" t="str">
        <f t="shared" si="105"/>
        <v>{"command" : "playfake","id":%id,"screens":[%screens]}</v>
      </c>
      <c r="K104" s="116" t="str">
        <f t="shared" si="102"/>
        <v>{"command" : "playfake","id":100,"screens":[1,2,3]}</v>
      </c>
      <c r="L104" s="36"/>
      <c r="M104" s="136" t="str">
        <f t="shared" si="109"/>
        <v/>
      </c>
      <c r="N104" s="116" t="str">
        <f t="shared" si="106"/>
        <v/>
      </c>
      <c r="O104" s="129" t="str">
        <f t="shared" si="112"/>
        <v/>
      </c>
      <c r="P104" s="83" t="str">
        <f>"{""id"":" &amp; A104 &amp; ", ""screens"":[" &amp; D104 &amp; "]}"</f>
        <v>{"id":100, "screens":[1,2,3]}</v>
      </c>
      <c r="Q104" s="37" t="str">
        <f t="shared" si="128"/>
        <v>{"id":100, "screens":[1,2,3]}</v>
      </c>
      <c r="R104" s="141"/>
      <c r="S104" s="148" t="str">
        <f t="shared" si="115"/>
        <v>clone_spoke</v>
      </c>
      <c r="T104" s="137" t="str">
        <f t="shared" si="129"/>
        <v>{"words-in" : { "entity" : "deepfake"} }</v>
      </c>
      <c r="U104" s="45"/>
      <c r="V104" s="35" t="str">
        <f>osc_exe_npmosc&amp;" --host "&amp;osc_ip&amp;":"&amp;osc_port_control&amp;" "&amp;osc_channel_play_audio&amp;" "&amp;AL104</f>
        <v>/opt/homebrew/bin/osc --host 10.10.10.10:5918 /play/audio 100_he_wants_us_to.mp3</v>
      </c>
      <c r="W104" s="36" t="str">
        <f t="shared" si="113"/>
        <v/>
      </c>
      <c r="X104" s="36" t="str">
        <f t="shared" si="114"/>
        <v/>
      </c>
      <c r="Y104" s="34"/>
      <c r="Z104" s="36" t="str">
        <f t="shared" si="116"/>
        <v/>
      </c>
      <c r="AA104" s="36"/>
      <c r="AB104" s="36" t="str" cm="1">
        <f t="array" ref="AB104">IF(C104="observe",channel_av_observe,"") &amp; IF(C104="register",channel_av_register,"")  &amp; IF(C104="listen",channel_av_listen,"")</f>
        <v/>
      </c>
      <c r="AC104" s="36" t="str">
        <f t="shared" si="130"/>
        <v>/screen</v>
      </c>
      <c r="AD104" s="36" t="str">
        <f t="shared" si="131"/>
        <v/>
      </c>
      <c r="AE104" s="42"/>
      <c r="AF104" s="68" t="s">
        <v>273</v>
      </c>
      <c r="AG104" s="68"/>
      <c r="AH104" s="56"/>
      <c r="AI104" s="56"/>
      <c r="AJ104" s="56"/>
      <c r="AK104" s="56" t="str">
        <f t="shared" si="88"/>
        <v/>
      </c>
      <c r="AL104" s="56" t="str">
        <f>AL62</f>
        <v>100_he_wants_us_to.mp3</v>
      </c>
      <c r="AM104" s="133"/>
      <c r="AN104" s="56"/>
      <c r="AO104" s="56"/>
      <c r="AP104" s="56"/>
      <c r="AQ104" s="56"/>
      <c r="AR104" s="56"/>
      <c r="AS104" s="56"/>
      <c r="AT104" s="56"/>
      <c r="AU104" s="56"/>
      <c r="AV104" s="56"/>
      <c r="AW104" s="56"/>
      <c r="AX104" s="56"/>
      <c r="AY104" s="56"/>
      <c r="AZ104" s="56"/>
      <c r="BA104" s="56"/>
      <c r="BB104" s="56"/>
      <c r="BC104" s="58"/>
      <c r="BD104" s="42"/>
      <c r="BE104" s="35"/>
      <c r="BF104" s="58"/>
      <c r="BG104" s="108"/>
      <c r="BH104" s="108"/>
      <c r="BI104" s="108" t="s">
        <v>77</v>
      </c>
      <c r="BJ104" s="110"/>
      <c r="BK104" s="58"/>
      <c r="BL104" s="56"/>
      <c r="BM104" s="35"/>
      <c r="BN104" s="35"/>
      <c r="BO104" s="35"/>
      <c r="BP104" s="35"/>
      <c r="BQ104" s="35"/>
      <c r="BR104" s="58"/>
      <c r="BS104" s="35"/>
      <c r="BT104" s="35"/>
      <c r="BU104" s="35"/>
      <c r="BV104" s="35"/>
      <c r="BW104" s="35"/>
      <c r="BX104" s="58"/>
      <c r="BY104" s="34"/>
      <c r="BZ104" s="35"/>
      <c r="CA104" s="35"/>
      <c r="CB104" s="158" t="str">
        <f t="shared" si="107"/>
        <v/>
      </c>
      <c r="AOE104" s="28"/>
    </row>
    <row r="105" spans="1:80 1071:1071" s="27" customFormat="1">
      <c r="A105" s="32">
        <f t="shared" si="108"/>
        <v>101</v>
      </c>
      <c r="B105" s="32"/>
      <c r="C105" s="32" t="s">
        <v>100</v>
      </c>
      <c r="D105" s="32"/>
      <c r="E105" s="34" t="s">
        <v>101</v>
      </c>
      <c r="F105" s="34" t="str">
        <f t="shared" si="111"/>
        <v/>
      </c>
      <c r="G105" s="34" t="str">
        <f t="shared" si="94"/>
        <v>mute</v>
      </c>
      <c r="H105" s="116" t="str">
        <f t="shared" si="104"/>
        <v>{"av-command": "stt-control", "data": {"listening": false}}</v>
      </c>
      <c r="I105" s="36" t="str">
        <f t="shared" si="101"/>
        <v/>
      </c>
      <c r="J105" s="36" t="str">
        <f t="shared" si="105"/>
        <v/>
      </c>
      <c r="K105" s="116" t="str">
        <f t="shared" si="102"/>
        <v/>
      </c>
      <c r="L105" s="36"/>
      <c r="M105" s="136" t="str">
        <f t="shared" si="109"/>
        <v>speak</v>
      </c>
      <c r="N105" s="116" t="str">
        <f t="shared" si="106"/>
        <v>{ "command": "speak", "entity": "Eliza", "data" : { "text" : "%text"}}</v>
      </c>
      <c r="O105" s="129" t="str">
        <f t="shared" si="112"/>
        <v>{ "command": "speak", "entity": "Eliza", "data" : { "text" : "I do!"}}</v>
      </c>
      <c r="P105" s="37" t="str">
        <f>IF(Y105&lt;&gt;"x","",j_opn&amp;"id"&amp;j_sep&amp;A105 &amp; j_nxt&amp;label_deepfake_name &amp; j_sep &amp; AH105 &amp; j_nxt&amp; "type" &amp; j_sep &amp; label_meat &amp; j_nxt&amp; "channel" &amp;j_sep&amp;Z105&amp;j_nxt&amp;label_role&amp;j_sep&amp;AE105&amp;j_nxt&amp;label_text&amp;j_sep&amp;AF105&amp;j_nxt&amp;label_gpt_emo&amp;j_sep&amp;BD105&amp;j_nxt&amp;label_gpt_tone&amp;j_sep&amp;BE105&amp;j_nxt&amp;label_animate&amp;j_sub_opn&amp;label_pre&amp;j_sep&amp;IF(do_anim=FALSE,"",BG105)&amp;j_nxt&amp;label_post&amp;j_sep&amp;IF(do_anim="","",BH105)&amp;j_nxt&amp;label_next_state&amp;j_sep&amp;BI105&amp;J_sub_cls&amp;label_azure&amp;j_sub_opn&amp;label_style&amp;j_sep&amp;BL105&amp;j_nxt&amp;label_degree&amp;J_sep_num&amp;BM105&amp;j_nxt_num&amp;label_pause&amp;J_sep_num&amp;BN105&amp;j_nxt_num&amp;label_pitch&amp;J_sep_num&amp;BO105&amp;j_nxt_num&amp;label_rate&amp;J_sep_num&amp;BP105&amp;j_nxt_num&amp;label_volume&amp;J_sep_num&amp;BQ105&amp;j_sub_cls_num&amp;label_emotion&amp;j_sub_opn&amp;label_sad&amp;J_sep_num&amp;BS105&amp;j_nxt_num&amp;label_joy&amp;J_sep_num&amp;BT105&amp;j_nxt_num&amp;label_fear&amp;J_sep_num&amp;BU105&amp;j_nxt_num&amp;label_disgust&amp;J_sep_num&amp;BV105&amp;j_nxt_num&amp;label_anger&amp;J_sep_num&amp;BW105&amp;j_sub_cls_num&amp;label_sg&amp;j_sub_opn&amp;label_mood&amp;j_sep&amp;BY105&amp;j_nxt&amp;label_scale&amp;J_sep_num&amp;BZ105&amp;j_end_num)</f>
        <v>{"id":"101","name":"i_do","type":"meat","channel":"say","role":"mask","text":"I do!","gpt_emotion":"","gpt_tone":"","animate":{"pre":"look_up","post":"","next_state":""},"azure":{"style":"","degree":0,"pause":0,"pitch":0,"rate":0,"volume":0},"emotion":{"sadness":-1,"joy":-1,"fear":-1,"disgust":-1,"anger":-1},"sgcom":{"mood":"","scale":-1}}</v>
      </c>
      <c r="Q105" s="37" t="str">
        <f t="shared" si="128"/>
        <v>{"id":"101","name":"i_do","type":"meat","channel":"say","role":"mask","text":"I do!","gpt_emotion":"","gpt_tone":"","animate":{"pre":"look_up","post":"","next_state":""},"azure":{"style":"","degree":0,"pause":0,"pitch":0,"rate":0,"volume":0},"emotion":{"sadness":-1,"joy":-1,"fear":-1,"disgust":-1,"anger":-1},"sgcom":{"mood":"","scale":-1}}</v>
      </c>
      <c r="R105" s="141"/>
      <c r="S105" s="148" t="str">
        <f t="shared" si="115"/>
        <v>mask_spoke</v>
      </c>
      <c r="T105" s="137" t="str">
        <f t="shared" si="129"/>
        <v>{"words-in" : { "entity" : "Eliza"} }</v>
      </c>
      <c r="U105" s="45"/>
      <c r="V105" s="35" t="str">
        <f>IF(OR(P105="",Y105=""),"",osc_exe_npmosc&amp;" --host "&amp;osc_ip&amp;":"&amp;osc_port_control&amp;" "&amp; osc_channel_meat_stub &amp; "  " &amp; j_qot &amp;X105 &amp; j_qot)</f>
        <v>/opt/homebrew/bin/osc --host 10.10.10.10:5918 /meat  "{#Qid#Q:#Q101#Q#C#Qname#Q:#Qi_do#Q#C#Qtype#Q:#Qmeat#Q#C#Qchannel#Q:#Qsay#Q#C#Qrole#Q:#Qmask#Q#C#Qtext#Q:#QI#Sdo!#Q#C#Qgpt_emotion#Q:#Q#Q#C#Qgpt_tone#Q:#Q#Q#C#Qanimate#Q:{#Qpre#Q:#Qlook_up#Q#C#Qpost#Q:#Q#Q#C#Qnext_state#Q:#Q#Q}#C#Qazure#Q:{#Qstyle#Q:#Q#Q#C#Qdegree#Q:0#C#Qpause#Q:0#C#Qpitch#Q:0#C#Qrate#Q:0#C#Qvolume#Q:0}#C#Qemotion#Q:{#Qsadness#Q:-1#C#Qjoy#Q:-1#C#Qfear#Q:-1#C#Qdisgust#Q:-1#C#Qanger#Q:-1}#C#Qsgcom#Q:{#Qmood#Q:#Q#Q#C#Qscale#Q:-1}}"</v>
      </c>
      <c r="W105" s="36" t="str">
        <f t="shared" si="113"/>
        <v>/opt/homebrew/bin/sendosc 10.10.10.10 5918 say s {\"id\":\"101\",\"name\":\"i_do\",\"type\":\"meat\",\"channel\":\"say\",\"role\":\"mask\",\"text\":\"I\ do!\",\"gpt_emotion\":\"\",\"gpt_tone\":\"\",\"animate\":{\"pre\":\"look_up\",\"post\":\"\",\"next_state\":\"\"\},\"azure\":{\"style\":\"\",\"degree\":0,\"pause\":0,\"pitch\":0,\"rate\":0,\"volume\":0\},\"emotion\":{\"sadness\":-1,\"joy\":-1,\"fear\":-1,\"disgust\":-1,\"anger\":-1\},\"sgcom\":{\"mood\":\"\",\"scale\":-1\}\}</v>
      </c>
      <c r="X105" s="36" t="str">
        <f t="shared" si="114"/>
        <v>{#Qid#Q:#Q101#Q#C#Qname#Q:#Qi_do#Q#C#Qtype#Q:#Qmeat#Q#C#Qchannel#Q:#Qsay#Q#C#Qrole#Q:#Qmask#Q#C#Qtext#Q:#QI#Sdo!#Q#C#Qgpt_emotion#Q:#Q#Q#C#Qgpt_tone#Q:#Q#Q#C#Qanimate#Q:{#Qpre#Q:#Qlook_up#Q#C#Qpost#Q:#Q#Q#C#Qnext_state#Q:#Q#Q}#C#Qazure#Q:{#Qstyle#Q:#Q#Q#C#Qdegree#Q:0#C#Qpause#Q:0#C#Qpitch#Q:0#C#Qrate#Q:0#C#Qvolume#Q:0}#C#Qemotion#Q:{#Qsadness#Q:-1#C#Qjoy#Q:-1#C#Qfear#Q:-1#C#Qdisgust#Q:-1#C#Qanger#Q:-1}#C#Qsgcom#Q:{#Qmood#Q:#Q#Q#C#Qscale#Q:-1}}</v>
      </c>
      <c r="Y105" s="40" t="s">
        <v>102</v>
      </c>
      <c r="Z105" s="36" t="str">
        <f t="shared" si="116"/>
        <v>say</v>
      </c>
      <c r="AA105" s="36"/>
      <c r="AB105" s="36" t="str" cm="1">
        <f t="array" ref="AB105">IF(C105="observe",channel_av_observe,"") &amp; IF(C105="register",channel_av_register,"")  &amp; IF(C105="listen",channel_av_listen,"")</f>
        <v/>
      </c>
      <c r="AC105" s="36" t="str">
        <f t="shared" si="130"/>
        <v/>
      </c>
      <c r="AD105" s="36" t="str">
        <f t="shared" si="131"/>
        <v/>
      </c>
      <c r="AE105" s="42" t="s">
        <v>103</v>
      </c>
      <c r="AF105" s="37" t="s">
        <v>274</v>
      </c>
      <c r="AG105" s="37"/>
      <c r="AH105" s="37" t="s">
        <v>275</v>
      </c>
      <c r="AI105" s="37"/>
      <c r="AJ105" s="114">
        <f>A105</f>
        <v>101</v>
      </c>
      <c r="AK105" s="56" t="str">
        <f t="shared" si="88"/>
        <v>101_i_do</v>
      </c>
      <c r="AL105" s="37"/>
      <c r="AM105" s="133"/>
      <c r="AN105" s="37"/>
      <c r="AO105" s="37"/>
      <c r="AP105" s="37"/>
      <c r="AQ105" s="37"/>
      <c r="AR105" s="37"/>
      <c r="AS105" s="37"/>
      <c r="AT105" s="37"/>
      <c r="AU105" s="37"/>
      <c r="AV105" s="37"/>
      <c r="AW105" s="37"/>
      <c r="AX105" s="37"/>
      <c r="AY105" s="37"/>
      <c r="AZ105" s="37"/>
      <c r="BA105" s="37"/>
      <c r="BB105" s="37"/>
      <c r="BC105" s="41"/>
      <c r="BD105" s="42"/>
      <c r="BE105" s="42"/>
      <c r="BF105" s="41"/>
      <c r="BG105" s="108" t="s">
        <v>276</v>
      </c>
      <c r="BH105" s="108"/>
      <c r="BI105" s="108" t="s">
        <v>77</v>
      </c>
      <c r="BJ105" s="110"/>
      <c r="BK105" s="41"/>
      <c r="BL105" s="42"/>
      <c r="BM105" s="35">
        <v>0</v>
      </c>
      <c r="BN105" s="35">
        <v>0</v>
      </c>
      <c r="BO105" s="35">
        <v>0</v>
      </c>
      <c r="BP105" s="35">
        <v>0</v>
      </c>
      <c r="BQ105" s="35">
        <v>0</v>
      </c>
      <c r="BR105" s="41"/>
      <c r="BS105" s="35">
        <v>-1</v>
      </c>
      <c r="BT105" s="35">
        <v>-1</v>
      </c>
      <c r="BU105" s="35">
        <v>-1</v>
      </c>
      <c r="BV105" s="35">
        <v>-1</v>
      </c>
      <c r="BW105" s="35">
        <v>-1</v>
      </c>
      <c r="BX105" s="41"/>
      <c r="BY105" s="34"/>
      <c r="BZ105" s="43" t="s">
        <v>165</v>
      </c>
      <c r="CA105" s="43" t="s">
        <v>165</v>
      </c>
      <c r="CB105" s="158" t="str">
        <f t="shared" si="107"/>
        <v>{"azure":{"style":"","degree":0,"pause":0,"pitch":0,"rate":0,"volume":0},"emotion":{"sadness":-1,"joy":-1,"fear":-1,"disgust":-1,"anger":-1},"sgcom":{"mood":"","scale":-1}}</v>
      </c>
      <c r="AOE105" s="28"/>
    </row>
    <row r="106" spans="1:80 1071:1071" s="27" customFormat="1">
      <c r="A106" s="32">
        <f t="shared" si="108"/>
        <v>102</v>
      </c>
      <c r="B106" s="32"/>
      <c r="C106" s="32" t="s">
        <v>236</v>
      </c>
      <c r="D106" s="69" t="s">
        <v>257</v>
      </c>
      <c r="E106" s="34" t="s">
        <v>237</v>
      </c>
      <c r="F106" s="34" t="str">
        <f t="shared" si="111"/>
        <v/>
      </c>
      <c r="G106" s="34" t="str">
        <f t="shared" si="94"/>
        <v>mute</v>
      </c>
      <c r="H106" s="116" t="str">
        <f t="shared" si="104"/>
        <v>{"av-command": "stt-control", "data": {"listening": false}}</v>
      </c>
      <c r="I106" s="36" t="str">
        <f t="shared" si="101"/>
        <v>fakeplay</v>
      </c>
      <c r="J106" s="36" t="str">
        <f t="shared" si="105"/>
        <v>{"command" : "playfake","id":%id,"screens":[%screens]}</v>
      </c>
      <c r="K106" s="116" t="str">
        <f t="shared" si="102"/>
        <v>{"command" : "playfake","id":102,"screens":[1,2,3]}</v>
      </c>
      <c r="L106" s="36"/>
      <c r="M106" s="136" t="str">
        <f t="shared" si="109"/>
        <v/>
      </c>
      <c r="N106" s="116" t="str">
        <f t="shared" si="106"/>
        <v/>
      </c>
      <c r="O106" s="129" t="str">
        <f t="shared" si="112"/>
        <v/>
      </c>
      <c r="P106" s="83" t="str">
        <f>"{""id"":" &amp; A106 &amp; ", ""screens"":[" &amp; D106 &amp; "]}"</f>
        <v>{"id":102, "screens":[1,2,3]}</v>
      </c>
      <c r="Q106" s="37" t="str">
        <f t="shared" si="128"/>
        <v>{"id":102, "screens":[1,2,3]}</v>
      </c>
      <c r="R106" s="141"/>
      <c r="S106" s="148" t="str">
        <f t="shared" si="115"/>
        <v>clone_spoke</v>
      </c>
      <c r="T106" s="137" t="str">
        <f t="shared" si="129"/>
        <v>{"words-in" : { "entity" : "deepfake"} }</v>
      </c>
      <c r="U106" s="45"/>
      <c r="V106" s="35" t="str">
        <f>osc_exe_npmosc&amp;" --host "&amp;osc_ip&amp;":"&amp;osc_port_control&amp;" "&amp;osc_channel_play_audio&amp;" "&amp;AL106</f>
        <v>/opt/homebrew/bin/osc --host 10.10.10.10:5918 /play/audio 102_your_life_would_be.mp3</v>
      </c>
      <c r="W106" s="36" t="str">
        <f t="shared" si="113"/>
        <v/>
      </c>
      <c r="X106" s="36" t="str">
        <f t="shared" si="114"/>
        <v/>
      </c>
      <c r="Y106" s="34"/>
      <c r="Z106" s="36" t="str">
        <f t="shared" si="116"/>
        <v/>
      </c>
      <c r="AA106" s="36"/>
      <c r="AB106" s="36" t="str" cm="1">
        <f t="array" ref="AB106">IF(C106="observe",channel_av_observe,"") &amp; IF(C106="register",channel_av_register,"")  &amp; IF(C106="listen",channel_av_listen,"")</f>
        <v/>
      </c>
      <c r="AC106" s="36" t="str">
        <f t="shared" si="130"/>
        <v>/screen</v>
      </c>
      <c r="AD106" s="36" t="str">
        <f t="shared" si="131"/>
        <v/>
      </c>
      <c r="AE106" s="42"/>
      <c r="AF106" s="68" t="str">
        <f>AN63</f>
        <v>And your life would be so much better if you just did as you’re told.</v>
      </c>
      <c r="AG106" s="68"/>
      <c r="AH106" s="56"/>
      <c r="AI106" s="56"/>
      <c r="AJ106" s="56"/>
      <c r="AK106" s="56" t="str">
        <f t="shared" si="88"/>
        <v/>
      </c>
      <c r="AL106" s="56" t="str">
        <f>AL63</f>
        <v>102_your_life_would_be.mp3</v>
      </c>
      <c r="AM106" s="133"/>
      <c r="AN106" s="56"/>
      <c r="AO106" s="56"/>
      <c r="AP106" s="56"/>
      <c r="AQ106" s="56"/>
      <c r="AR106" s="56"/>
      <c r="AS106" s="56"/>
      <c r="AT106" s="56"/>
      <c r="AU106" s="56"/>
      <c r="AV106" s="56"/>
      <c r="AW106" s="56"/>
      <c r="AX106" s="56"/>
      <c r="AY106" s="56"/>
      <c r="AZ106" s="56"/>
      <c r="BA106" s="56"/>
      <c r="BB106" s="56"/>
      <c r="BC106" s="58"/>
      <c r="BD106" s="42"/>
      <c r="BE106" s="35"/>
      <c r="BF106" s="58"/>
      <c r="BG106" s="108"/>
      <c r="BH106" s="108"/>
      <c r="BI106" s="108" t="s">
        <v>77</v>
      </c>
      <c r="BJ106" s="110"/>
      <c r="BK106" s="58"/>
      <c r="BL106" s="56"/>
      <c r="BM106" s="35"/>
      <c r="BN106" s="35"/>
      <c r="BO106" s="35"/>
      <c r="BP106" s="35"/>
      <c r="BQ106" s="35"/>
      <c r="BR106" s="58"/>
      <c r="BS106" s="35"/>
      <c r="BT106" s="35"/>
      <c r="BU106" s="35"/>
      <c r="BV106" s="35"/>
      <c r="BW106" s="35"/>
      <c r="BX106" s="58"/>
      <c r="BY106" s="34"/>
      <c r="BZ106" s="35"/>
      <c r="CA106" s="35"/>
      <c r="CB106" s="158" t="str">
        <f t="shared" si="107"/>
        <v/>
      </c>
      <c r="AOE106" s="28"/>
    </row>
    <row r="107" spans="1:80 1071:1071" s="27" customFormat="1">
      <c r="A107" s="32">
        <f t="shared" si="108"/>
        <v>103</v>
      </c>
      <c r="B107" s="32"/>
      <c r="C107" s="32" t="s">
        <v>100</v>
      </c>
      <c r="D107" s="32"/>
      <c r="E107" s="34" t="s">
        <v>101</v>
      </c>
      <c r="F107" s="34" t="str">
        <f t="shared" si="111"/>
        <v/>
      </c>
      <c r="G107" s="34" t="str">
        <f t="shared" si="94"/>
        <v>mute</v>
      </c>
      <c r="H107" s="116" t="str">
        <f t="shared" si="104"/>
        <v>{"av-command": "stt-control", "data": {"listening": false}}</v>
      </c>
      <c r="I107" s="36" t="str">
        <f t="shared" si="101"/>
        <v/>
      </c>
      <c r="J107" s="36" t="str">
        <f t="shared" si="105"/>
        <v/>
      </c>
      <c r="K107" s="116" t="str">
        <f t="shared" si="102"/>
        <v/>
      </c>
      <c r="L107" s="36"/>
      <c r="M107" s="136" t="str">
        <f t="shared" si="109"/>
        <v>speak</v>
      </c>
      <c r="N107" s="116" t="str">
        <f t="shared" si="106"/>
        <v>{ "command": "speak", "entity": "Eliza", "data" : { "text" : "%text"}}</v>
      </c>
      <c r="O107" s="129" t="str">
        <f t="shared" si="112"/>
        <v>{ "command": "speak", "entity": "Eliza", "data" : { "text" : "I know you have it [prosody pitch=40 rate=-100] in [/prosody] you!"}}</v>
      </c>
      <c r="P107" s="37" t="str">
        <f>IF(Y107&lt;&gt;"x","",j_opn&amp;"id"&amp;j_sep&amp;A107 &amp; j_nxt&amp;label_deepfake_name &amp; j_sep &amp; AH107 &amp; j_nxt&amp; "type" &amp; j_sep &amp; label_meat &amp; j_nxt&amp; "channel" &amp;j_sep&amp;Z107&amp;j_nxt&amp;label_role&amp;j_sep&amp;AE107&amp;j_nxt&amp;label_text&amp;j_sep&amp;AF107&amp;j_nxt&amp;label_gpt_emo&amp;j_sep&amp;BD107&amp;j_nxt&amp;label_gpt_tone&amp;j_sep&amp;BE107&amp;j_nxt&amp;label_animate&amp;j_sub_opn&amp;label_pre&amp;j_sep&amp;IF(do_anim=FALSE,"",BG107)&amp;j_nxt&amp;label_post&amp;j_sep&amp;IF(do_anim="","",BH107)&amp;j_nxt&amp;label_next_state&amp;j_sep&amp;BI107&amp;J_sub_cls&amp;label_azure&amp;j_sub_opn&amp;label_style&amp;j_sep&amp;BL107&amp;j_nxt&amp;label_degree&amp;J_sep_num&amp;BM107&amp;j_nxt_num&amp;label_pause&amp;J_sep_num&amp;BN107&amp;j_nxt_num&amp;label_pitch&amp;J_sep_num&amp;BO107&amp;j_nxt_num&amp;label_rate&amp;J_sep_num&amp;BP107&amp;j_nxt_num&amp;label_volume&amp;J_sep_num&amp;BQ107&amp;j_sub_cls_num&amp;label_emotion&amp;j_sub_opn&amp;label_sad&amp;J_sep_num&amp;BS107&amp;j_nxt_num&amp;label_joy&amp;J_sep_num&amp;BT107&amp;j_nxt_num&amp;label_fear&amp;J_sep_num&amp;BU107&amp;j_nxt_num&amp;label_disgust&amp;J_sep_num&amp;BV107&amp;j_nxt_num&amp;label_anger&amp;J_sep_num&amp;BW107&amp;j_sub_cls_num&amp;label_sg&amp;j_sub_opn&amp;label_mood&amp;j_sep&amp;BY107&amp;j_nxt&amp;label_scale&amp;J_sep_num&amp;BZ107&amp;j_end_num)</f>
        <v>{"id":"103","name":"i_know_you","type":"meat","channel":"say","role":"mask","text":"I know you have it [prosody pitch=40 rate=-100] in [/prosody] you!","gpt_emotion":"","gpt_tone":"","animate":{"pre":"lookleftright","post":"","next_state":""},"azure":{"style":"","degree":0,"pause":0,"pitch":0,"rate":0,"volume":0},"emotion":{"sadness":-1,"joy":-1,"fear":-1,"disgust":-1,"anger":-1},"sgcom":{"mood":"","scale":-1}}</v>
      </c>
      <c r="Q107" s="37" t="str">
        <f t="shared" si="128"/>
        <v>{"id":"103","name":"i_know_you","type":"meat","channel":"say","role":"mask","text":"I know you have it [prosody pitch=40 rate=-100] in [/prosody] you!","gpt_emotion":"","gpt_tone":"","animate":{"pre":"lookleftright","post":"","next_state":""},"azure":{"style":"","degree":0,"pause":0,"pitch":0,"rate":0,"volume":0},"emotion":{"sadness":-1,"joy":-1,"fear":-1,"disgust":-1,"anger":-1},"sgcom":{"mood":"","scale":-1}}</v>
      </c>
      <c r="R107" s="141"/>
      <c r="S107" s="148" t="str">
        <f t="shared" si="115"/>
        <v>mask_spoke</v>
      </c>
      <c r="T107" s="137" t="str">
        <f t="shared" si="129"/>
        <v>{"words-in" : { "entity" : "Eliza"} }</v>
      </c>
      <c r="U107" s="45"/>
      <c r="V107" s="35" t="str">
        <f>IF(OR(P107="",Y107=""),"",osc_exe_npmosc&amp;" --host "&amp;osc_ip&amp;":"&amp;osc_port_control&amp;" "&amp; osc_channel_meat_stub &amp; "  " &amp; j_qot &amp;X107 &amp; j_qot)</f>
        <v>/opt/homebrew/bin/osc --host 10.10.10.10:5918 /meat  "{#Qid#Q:#Q103#Q#C#Qname#Q:#Qi_know_you#Q#C#Qtype#Q:#Qmeat#Q#C#Qchannel#Q:#Qsay#Q#C#Qrole#Q:#Qmask#Q#C#Qtext#Q:#QI#Sknow#Syou#Shave#Sit#S[prosody#Spitch=40#Srate=-100]#Sin#S[/prosody]#Syou!#Q#C#Qgpt_emotion#Q:#Q#Q#C#Qgpt_tone#Q:#Q#Q#C#Qanimate#Q:{#Qpre#Q:#Qlookleftright#Q#C#Qpost#Q:#Q#Q#C#Qnext_state#Q:#Q#Q}#C#Qazure#Q:{#Qstyle#Q:#Q#Q#C#Qdegree#Q:0#C#Qpause#Q:0#C#Qpitch#Q:0#C#Qrate#Q:0#C#Qvolume#Q:0}#C#Qemotion#Q:{#Qsadness#Q:-1#C#Qjoy#Q:-1#C#Qfear#Q:-1#C#Qdisgust#Q:-1#C#Qanger#Q:-1}#C#Qsgcom#Q:{#Qmood#Q:#Q#Q#C#Qscale#Q:-1}}"</v>
      </c>
      <c r="W107" s="36" t="str">
        <f t="shared" si="113"/>
        <v>/opt/homebrew/bin/sendosc 10.10.10.10 5918 say s {\"id\":\"103\",\"name\":\"i_know_you\",\"type\":\"meat\",\"channel\":\"say\",\"role\":\"mask\",\"text\":\"I\ know\ you\ have\ it\ [prosody\ pitch=40\ rate=-100]\ in\ [/prosody]\ you!\",\"gpt_emotion\":\"\",\"gpt_tone\":\"\",\"animate\":{\"pre\":\"lookleftright\",\"post\":\"\",\"next_state\":\"\"\},\"azure\":{\"style\":\"\",\"degree\":0,\"pause\":0,\"pitch\":0,\"rate\":0,\"volume\":0\},\"emotion\":{\"sadness\":-1,\"joy\":-1,\"fear\":-1,\"disgust\":-1,\"anger\":-1\},\"sgcom\":{\"mood\":\"\",\"scale\":-1\}\}</v>
      </c>
      <c r="X107" s="36" t="str">
        <f t="shared" si="114"/>
        <v>{#Qid#Q:#Q103#Q#C#Qname#Q:#Qi_know_you#Q#C#Qtype#Q:#Qmeat#Q#C#Qchannel#Q:#Qsay#Q#C#Qrole#Q:#Qmask#Q#C#Qtext#Q:#QI#Sknow#Syou#Shave#Sit#S[prosody#Spitch=40#Srate=-100]#Sin#S[/prosody]#Syou!#Q#C#Qgpt_emotion#Q:#Q#Q#C#Qgpt_tone#Q:#Q#Q#C#Qanimate#Q:{#Qpre#Q:#Qlookleftright#Q#C#Qpost#Q:#Q#Q#C#Qnext_state#Q:#Q#Q}#C#Qazure#Q:{#Qstyle#Q:#Q#Q#C#Qdegree#Q:0#C#Qpause#Q:0#C#Qpitch#Q:0#C#Qrate#Q:0#C#Qvolume#Q:0}#C#Qemotion#Q:{#Qsadness#Q:-1#C#Qjoy#Q:-1#C#Qfear#Q:-1#C#Qdisgust#Q:-1#C#Qanger#Q:-1}#C#Qsgcom#Q:{#Qmood#Q:#Q#Q#C#Qscale#Q:-1}}</v>
      </c>
      <c r="Y107" s="40" t="s">
        <v>102</v>
      </c>
      <c r="Z107" s="36" t="str">
        <f t="shared" si="116"/>
        <v>say</v>
      </c>
      <c r="AA107" s="36"/>
      <c r="AB107" s="36" t="str" cm="1">
        <f t="array" ref="AB107">IF(C107="observe",channel_av_observe,"") &amp; IF(C107="register",channel_av_register,"")  &amp; IF(C107="listen",channel_av_listen,"")</f>
        <v/>
      </c>
      <c r="AC107" s="36" t="str">
        <f t="shared" si="130"/>
        <v/>
      </c>
      <c r="AD107" s="36" t="str">
        <f t="shared" si="131"/>
        <v/>
      </c>
      <c r="AE107" s="42" t="s">
        <v>103</v>
      </c>
      <c r="AF107" s="37" t="s">
        <v>277</v>
      </c>
      <c r="AG107" s="37"/>
      <c r="AH107" s="37" t="s">
        <v>278</v>
      </c>
      <c r="AI107" s="37"/>
      <c r="AJ107" s="114">
        <f>A107</f>
        <v>103</v>
      </c>
      <c r="AK107" s="56" t="str">
        <f t="shared" si="88"/>
        <v>103_i_know_you</v>
      </c>
      <c r="AL107" s="37"/>
      <c r="AM107" s="133"/>
      <c r="AN107" s="37"/>
      <c r="AO107" s="37"/>
      <c r="AP107" s="37"/>
      <c r="AQ107" s="37"/>
      <c r="AR107" s="37"/>
      <c r="AS107" s="37"/>
      <c r="AT107" s="37"/>
      <c r="AU107" s="37"/>
      <c r="AV107" s="37"/>
      <c r="AW107" s="37"/>
      <c r="AX107" s="37"/>
      <c r="AY107" s="37"/>
      <c r="AZ107" s="37"/>
      <c r="BA107" s="37"/>
      <c r="BB107" s="37"/>
      <c r="BC107" s="41"/>
      <c r="BD107" s="42"/>
      <c r="BE107" s="42"/>
      <c r="BF107" s="41"/>
      <c r="BG107" s="104" t="s">
        <v>279</v>
      </c>
      <c r="BH107" s="104"/>
      <c r="BI107" s="108" t="s">
        <v>77</v>
      </c>
      <c r="BJ107" s="110"/>
      <c r="BK107" s="41"/>
      <c r="BL107" s="42"/>
      <c r="BM107" s="35">
        <v>0</v>
      </c>
      <c r="BN107" s="35">
        <v>0</v>
      </c>
      <c r="BO107" s="35">
        <v>0</v>
      </c>
      <c r="BP107" s="35">
        <v>0</v>
      </c>
      <c r="BQ107" s="35">
        <v>0</v>
      </c>
      <c r="BR107" s="41"/>
      <c r="BS107" s="35">
        <v>-1</v>
      </c>
      <c r="BT107" s="35">
        <v>-1</v>
      </c>
      <c r="BU107" s="35">
        <v>-1</v>
      </c>
      <c r="BV107" s="35">
        <v>-1</v>
      </c>
      <c r="BW107" s="35">
        <v>-1</v>
      </c>
      <c r="BX107" s="41"/>
      <c r="BY107" s="34"/>
      <c r="BZ107" s="43" t="s">
        <v>165</v>
      </c>
      <c r="CA107" s="43" t="s">
        <v>165</v>
      </c>
      <c r="CB107" s="158" t="str">
        <f t="shared" si="107"/>
        <v>{"azure":{"style":"","degree":0,"pause":0,"pitch":0,"rate":0,"volume":0},"emotion":{"sadness":-1,"joy":-1,"fear":-1,"disgust":-1,"anger":-1},"sgcom":{"mood":"","scale":-1}}</v>
      </c>
      <c r="AOE107" s="28"/>
    </row>
    <row r="108" spans="1:80 1071:1071" s="27" customFormat="1">
      <c r="A108" s="32">
        <f t="shared" si="108"/>
        <v>104</v>
      </c>
      <c r="B108" s="32"/>
      <c r="C108" s="32" t="s">
        <v>236</v>
      </c>
      <c r="D108" s="69" t="s">
        <v>257</v>
      </c>
      <c r="E108" s="34" t="s">
        <v>237</v>
      </c>
      <c r="F108" s="34" t="str">
        <f t="shared" si="111"/>
        <v/>
      </c>
      <c r="G108" s="34" t="str">
        <f t="shared" si="94"/>
        <v>mute</v>
      </c>
      <c r="H108" s="116" t="str">
        <f t="shared" si="104"/>
        <v>{"av-command": "stt-control", "data": {"listening": false}}</v>
      </c>
      <c r="I108" s="36" t="str">
        <f t="shared" si="101"/>
        <v>fakeplay</v>
      </c>
      <c r="J108" s="36" t="str">
        <f t="shared" si="105"/>
        <v>{"command" : "playfake","id":%id,"screens":[%screens]}</v>
      </c>
      <c r="K108" s="116" t="str">
        <f t="shared" si="102"/>
        <v>{"command" : "playfake","id":104,"screens":[1,2,3]}</v>
      </c>
      <c r="L108" s="36"/>
      <c r="M108" s="136" t="str">
        <f t="shared" si="109"/>
        <v/>
      </c>
      <c r="N108" s="116" t="str">
        <f t="shared" si="106"/>
        <v/>
      </c>
      <c r="O108" s="129" t="str">
        <f t="shared" si="112"/>
        <v/>
      </c>
      <c r="P108" s="83" t="str">
        <f>"{""id"":" &amp; A108 &amp; ", ""screens"":[" &amp; D108 &amp; "]}"</f>
        <v>{"id":104, "screens":[1,2,3]}</v>
      </c>
      <c r="Q108" s="37" t="str">
        <f t="shared" si="128"/>
        <v>{"id":104, "screens":[1,2,3]}</v>
      </c>
      <c r="R108" s="141"/>
      <c r="S108" s="148" t="str">
        <f t="shared" si="115"/>
        <v>clone_spoke</v>
      </c>
      <c r="T108" s="137" t="str">
        <f t="shared" si="129"/>
        <v>{"words-in" : { "entity" : "deepfake"} }</v>
      </c>
      <c r="U108" s="45"/>
      <c r="V108" s="35" t="str">
        <f>osc_exe_npmosc&amp;" --host "&amp;osc_ip&amp;":"&amp;osc_port_control&amp;" "&amp;osc_channel_play_audio&amp;" "&amp;AL108</f>
        <v>/opt/homebrew/bin/osc --host 10.10.10.10:5918 /play/audio 104_i_dont_think.mp3</v>
      </c>
      <c r="W108" s="36" t="str">
        <f t="shared" si="113"/>
        <v/>
      </c>
      <c r="X108" s="36" t="str">
        <f t="shared" si="114"/>
        <v/>
      </c>
      <c r="Y108" s="34"/>
      <c r="Z108" s="36" t="str">
        <f t="shared" si="116"/>
        <v/>
      </c>
      <c r="AA108" s="36"/>
      <c r="AB108" s="36" t="str" cm="1">
        <f t="array" ref="AB108">IF(C108="observe",channel_av_observe,"") &amp; IF(C108="register",channel_av_register,"")  &amp; IF(C108="listen",channel_av_listen,"")</f>
        <v/>
      </c>
      <c r="AC108" s="36" t="str">
        <f t="shared" si="130"/>
        <v>/screen</v>
      </c>
      <c r="AD108" s="36" t="str">
        <f t="shared" si="131"/>
        <v/>
      </c>
      <c r="AE108" s="42"/>
      <c r="AF108" s="68" t="s">
        <v>203</v>
      </c>
      <c r="AG108" s="68"/>
      <c r="AH108" s="56"/>
      <c r="AI108" s="56"/>
      <c r="AJ108" s="56"/>
      <c r="AK108" s="56" t="str">
        <f t="shared" si="88"/>
        <v/>
      </c>
      <c r="AL108" s="56" t="str">
        <f>AL64</f>
        <v>104_i_dont_think.mp3</v>
      </c>
      <c r="AM108" s="133"/>
      <c r="AN108" s="56"/>
      <c r="AO108" s="56"/>
      <c r="AP108" s="56"/>
      <c r="AQ108" s="56"/>
      <c r="AR108" s="56"/>
      <c r="AS108" s="56"/>
      <c r="AT108" s="56"/>
      <c r="AU108" s="56"/>
      <c r="AV108" s="56"/>
      <c r="AW108" s="56"/>
      <c r="AX108" s="56"/>
      <c r="AY108" s="56"/>
      <c r="AZ108" s="56"/>
      <c r="BA108" s="56"/>
      <c r="BB108" s="56"/>
      <c r="BC108" s="58"/>
      <c r="BD108" s="42"/>
      <c r="BE108" s="35"/>
      <c r="BF108" s="58"/>
      <c r="BG108" s="108"/>
      <c r="BH108" s="108"/>
      <c r="BI108" s="108" t="s">
        <v>77</v>
      </c>
      <c r="BJ108" s="110"/>
      <c r="BK108" s="58"/>
      <c r="BL108" s="56"/>
      <c r="BM108" s="35"/>
      <c r="BN108" s="35"/>
      <c r="BO108" s="35"/>
      <c r="BP108" s="35"/>
      <c r="BQ108" s="35"/>
      <c r="BR108" s="58"/>
      <c r="BS108" s="35"/>
      <c r="BT108" s="35"/>
      <c r="BU108" s="35"/>
      <c r="BV108" s="35"/>
      <c r="BW108" s="35"/>
      <c r="BX108" s="58"/>
      <c r="BY108" s="34"/>
      <c r="BZ108" s="35"/>
      <c r="CA108" s="35"/>
      <c r="CB108" s="158" t="str">
        <f t="shared" si="107"/>
        <v/>
      </c>
      <c r="AOE108" s="28"/>
    </row>
    <row r="109" spans="1:80 1071:1071" s="27" customFormat="1">
      <c r="A109" s="32">
        <f t="shared" si="108"/>
        <v>105</v>
      </c>
      <c r="B109" s="32"/>
      <c r="C109" s="32" t="s">
        <v>100</v>
      </c>
      <c r="D109" s="32"/>
      <c r="E109" s="34" t="s">
        <v>101</v>
      </c>
      <c r="F109" s="34" t="str">
        <f t="shared" si="111"/>
        <v/>
      </c>
      <c r="G109" s="34" t="str">
        <f t="shared" si="94"/>
        <v>mute</v>
      </c>
      <c r="H109" s="116" t="str">
        <f t="shared" si="104"/>
        <v>{"av-command": "stt-control", "data": {"listening": false}}</v>
      </c>
      <c r="I109" s="36" t="str">
        <f t="shared" si="101"/>
        <v/>
      </c>
      <c r="J109" s="36" t="str">
        <f t="shared" si="105"/>
        <v/>
      </c>
      <c r="K109" s="116" t="str">
        <f t="shared" si="102"/>
        <v/>
      </c>
      <c r="L109" s="36"/>
      <c r="M109" s="136" t="str">
        <f t="shared" si="109"/>
        <v>speak</v>
      </c>
      <c r="N109" s="116" t="str">
        <f t="shared" si="106"/>
        <v>{ "command": "speak", "entity": "Eliza", "data" : { "text" : "%text"}}</v>
      </c>
      <c r="O109" s="129" t="str">
        <f t="shared" si="112"/>
        <v>{ "command": "speak", "entity": "Eliza", "data" : { "text" : "What do -[prosody pitch=40 rate=-100] you [/prosody][prosody pitch=-10] think[/prosody]?"}}</v>
      </c>
      <c r="P109" s="37" t="str">
        <f>IF(Y109&lt;&gt;"x","",j_opn&amp;"id"&amp;j_sep&amp;A109 &amp; j_nxt&amp;label_deepfake_name &amp; j_sep &amp; AH109 &amp; j_nxt&amp; "type" &amp; j_sep &amp; label_meat &amp; j_nxt&amp; "channel" &amp;j_sep&amp;Z109&amp;j_nxt&amp;label_role&amp;j_sep&amp;AE109&amp;j_nxt&amp;label_text&amp;j_sep&amp;AF109&amp;j_nxt&amp;label_gpt_emo&amp;j_sep&amp;BD109&amp;j_nxt&amp;label_gpt_tone&amp;j_sep&amp;BE109&amp;j_nxt&amp;label_animate&amp;j_sub_opn&amp;label_pre&amp;j_sep&amp;IF(do_anim=FALSE,"",BG109)&amp;j_nxt&amp;label_post&amp;j_sep&amp;IF(do_anim="","",BH109)&amp;j_nxt&amp;label_next_state&amp;j_sep&amp;BI109&amp;J_sub_cls&amp;label_azure&amp;j_sub_opn&amp;label_style&amp;j_sep&amp;BL109&amp;j_nxt&amp;label_degree&amp;J_sep_num&amp;BM109&amp;j_nxt_num&amp;label_pause&amp;J_sep_num&amp;BN109&amp;j_nxt_num&amp;label_pitch&amp;J_sep_num&amp;BO109&amp;j_nxt_num&amp;label_rate&amp;J_sep_num&amp;BP109&amp;j_nxt_num&amp;label_volume&amp;J_sep_num&amp;BQ109&amp;j_sub_cls_num&amp;label_emotion&amp;j_sub_opn&amp;label_sad&amp;J_sep_num&amp;BS109&amp;j_nxt_num&amp;label_joy&amp;J_sep_num&amp;BT109&amp;j_nxt_num&amp;label_fear&amp;J_sep_num&amp;BU109&amp;j_nxt_num&amp;label_disgust&amp;J_sep_num&amp;BV109&amp;j_nxt_num&amp;label_anger&amp;J_sep_num&amp;BW109&amp;j_sub_cls_num&amp;label_sg&amp;j_sub_opn&amp;label_mood&amp;j_sep&amp;BY109&amp;j_nxt&amp;label_scale&amp;J_sep_num&amp;BZ109&amp;j_end_num)</f>
        <v>{"id":"105","name":"what_do_you_think","type":"meat","channel":"say","role":"mask","text":"What do -[prosody pitch=40 rate=-100] you [/prosody][prosody pitch=-10] think[/prosody]?","gpt_emotion":"","gpt_tone":"","animate":{"pre":"lookleftright","post":"lookup","next_state":""},"azure":{"style":"","degree":0,"pause":0,"pitch":0,"rate":-5,"volume":0},"emotion":{"sadness":-1,"joy":-1,"fear":-1,"disgust":-1,"anger":-1},"sgcom":{"mood":"","scale":-1}}</v>
      </c>
      <c r="Q109" s="37" t="str">
        <f t="shared" si="128"/>
        <v>{"id":"105","name":"what_do_you_think","type":"meat","channel":"say","role":"mask","text":"What do -[prosody pitch=40 rate=-100] you [/prosody][prosody pitch=-10] think[/prosody]?","gpt_emotion":"","gpt_tone":"","animate":{"pre":"lookleftright","post":"lookup","next_state":""},"azure":{"style":"","degree":0,"pause":0,"pitch":0,"rate":-5,"volume":0},"emotion":{"sadness":-1,"joy":-1,"fear":-1,"disgust":-1,"anger":-1},"sgcom":{"mood":"","scale":-1}}</v>
      </c>
      <c r="R109" s="141"/>
      <c r="S109" s="148" t="str">
        <f t="shared" si="115"/>
        <v>mask_spoke</v>
      </c>
      <c r="T109" s="137" t="str">
        <f t="shared" si="129"/>
        <v>{"words-in" : { "entity" : "Eliza"} }</v>
      </c>
      <c r="U109" s="45"/>
      <c r="V109" s="35" t="str">
        <f>IF(OR(P109="",Y109=""),"",osc_exe_npmosc&amp;" --host "&amp;osc_ip&amp;":"&amp;osc_port_control&amp;" "&amp; osc_channel_meat_stub &amp; "  " &amp; j_qot &amp;X109 &amp; j_qot)</f>
        <v>/opt/homebrew/bin/osc --host 10.10.10.10:5918 /meat  "{#Qid#Q:#Q105#Q#C#Qname#Q:#Qwhat_do_you_think#Q#C#Qtype#Q:#Qmeat#Q#C#Qchannel#Q:#Qsay#Q#C#Qrole#Q:#Qmask#Q#C#Qtext#Q:#QWhat#Sdo#S-[prosody#Spitch=40#Srate=-100]#Syou#S[/prosody][prosody#Spitch=-10]#Sthink[/prosody]?#Q#C#Qgpt_emotion#Q:#Q#Q#C#Qgpt_tone#Q:#Q#Q#C#Qanimate#Q:{#Qpre#Q:#Qlookleftright#Q#C#Qpost#Q:#Qlookup#Q#C#Qnext_state#Q:#Q#Q}#C#Qazure#Q:{#Qstyle#Q:#Q#Q#C#Qdegree#Q:0#C#Qpause#Q:0#C#Qpitch#Q:0#C#Qrate#Q:-5#C#Qvolume#Q:0}#C#Qemotion#Q:{#Qsadness#Q:-1#C#Qjoy#Q:-1#C#Qfear#Q:-1#C#Qdisgust#Q:-1#C#Qanger#Q:-1}#C#Qsgcom#Q:{#Qmood#Q:#Q#Q#C#Qscale#Q:-1}}"</v>
      </c>
      <c r="W109" s="36" t="str">
        <f t="shared" si="113"/>
        <v>/opt/homebrew/bin/sendosc 10.10.10.10 5918 say s {\"id\":\"105\",\"name\":\"what_do_you_think\",\"type\":\"meat\",\"channel\":\"say\",\"role\":\"mask\",\"text\":\"What\ do\ -[prosody\ pitch=40\ rate=-100]\ you\ [/prosody][prosody\ pitch=-10]\ think[/prosody]\?\",\"gpt_emotion\":\"\",\"gpt_tone\":\"\",\"animate\":{\"pre\":\"lookleftright\",\"post\":\"lookup\",\"next_state\":\"\"\},\"azure\":{\"style\":\"\",\"degree\":0,\"pause\":0,\"pitch\":0,\"rate\":-5,\"volume\":0\},\"emotion\":{\"sadness\":-1,\"joy\":-1,\"fear\":-1,\"disgust\":-1,\"anger\":-1\},\"sgcom\":{\"mood\":\"\",\"scale\":-1\}\}</v>
      </c>
      <c r="X109" s="36" t="str">
        <f t="shared" si="114"/>
        <v>{#Qid#Q:#Q105#Q#C#Qname#Q:#Qwhat_do_you_think#Q#C#Qtype#Q:#Qmeat#Q#C#Qchannel#Q:#Qsay#Q#C#Qrole#Q:#Qmask#Q#C#Qtext#Q:#QWhat#Sdo#S-[prosody#Spitch=40#Srate=-100]#Syou#S[/prosody][prosody#Spitch=-10]#Sthink[/prosody]?#Q#C#Qgpt_emotion#Q:#Q#Q#C#Qgpt_tone#Q:#Q#Q#C#Qanimate#Q:{#Qpre#Q:#Qlookleftright#Q#C#Qpost#Q:#Qlookup#Q#C#Qnext_state#Q:#Q#Q}#C#Qazure#Q:{#Qstyle#Q:#Q#Q#C#Qdegree#Q:0#C#Qpause#Q:0#C#Qpitch#Q:0#C#Qrate#Q:-5#C#Qvolume#Q:0}#C#Qemotion#Q:{#Qsadness#Q:-1#C#Qjoy#Q:-1#C#Qfear#Q:-1#C#Qdisgust#Q:-1#C#Qanger#Q:-1}#C#Qsgcom#Q:{#Qmood#Q:#Q#Q#C#Qscale#Q:-1}}</v>
      </c>
      <c r="Y109" s="40" t="s">
        <v>102</v>
      </c>
      <c r="Z109" s="36" t="str">
        <f t="shared" si="116"/>
        <v>say</v>
      </c>
      <c r="AA109" s="36"/>
      <c r="AB109" s="36" t="str" cm="1">
        <f t="array" ref="AB109">IF(C109="observe",channel_av_observe,"") &amp; IF(C109="register",channel_av_register,"")  &amp; IF(C109="listen",channel_av_listen,"")</f>
        <v/>
      </c>
      <c r="AC109" s="36" t="str">
        <f t="shared" si="130"/>
        <v/>
      </c>
      <c r="AD109" s="36" t="str">
        <f t="shared" si="131"/>
        <v/>
      </c>
      <c r="AE109" s="42" t="s">
        <v>103</v>
      </c>
      <c r="AF109" s="37" t="s">
        <v>280</v>
      </c>
      <c r="AG109" s="37"/>
      <c r="AH109" s="37" t="s">
        <v>281</v>
      </c>
      <c r="AI109" s="37"/>
      <c r="AJ109" s="114">
        <f>A109</f>
        <v>105</v>
      </c>
      <c r="AK109" s="56" t="str">
        <f t="shared" si="88"/>
        <v>105_what_do_you_think</v>
      </c>
      <c r="AL109" s="37"/>
      <c r="AM109" s="133"/>
      <c r="AN109" s="37"/>
      <c r="AO109" s="37"/>
      <c r="AP109" s="37"/>
      <c r="AQ109" s="37"/>
      <c r="AR109" s="37"/>
      <c r="AS109" s="37"/>
      <c r="AT109" s="37"/>
      <c r="AU109" s="37"/>
      <c r="AV109" s="37"/>
      <c r="AW109" s="37"/>
      <c r="AX109" s="37"/>
      <c r="AY109" s="37"/>
      <c r="AZ109" s="37"/>
      <c r="BA109" s="37"/>
      <c r="BB109" s="37"/>
      <c r="BC109" s="41"/>
      <c r="BD109" s="42"/>
      <c r="BE109" s="42"/>
      <c r="BF109" s="41"/>
      <c r="BG109" s="104" t="s">
        <v>279</v>
      </c>
      <c r="BH109" s="104" t="s">
        <v>282</v>
      </c>
      <c r="BI109" s="108" t="s">
        <v>77</v>
      </c>
      <c r="BJ109" s="110"/>
      <c r="BK109" s="41"/>
      <c r="BL109" s="42"/>
      <c r="BM109" s="35">
        <v>0</v>
      </c>
      <c r="BN109" s="35">
        <v>0</v>
      </c>
      <c r="BO109" s="35">
        <v>0</v>
      </c>
      <c r="BP109" s="35">
        <v>-5</v>
      </c>
      <c r="BQ109" s="35">
        <v>0</v>
      </c>
      <c r="BR109" s="41"/>
      <c r="BS109" s="35">
        <v>-1</v>
      </c>
      <c r="BT109" s="35">
        <v>-1</v>
      </c>
      <c r="BU109" s="35">
        <v>-1</v>
      </c>
      <c r="BV109" s="35">
        <v>-1</v>
      </c>
      <c r="BW109" s="35">
        <v>-1</v>
      </c>
      <c r="BX109" s="41"/>
      <c r="BY109" s="34"/>
      <c r="BZ109" s="43" t="s">
        <v>165</v>
      </c>
      <c r="CA109" s="43" t="s">
        <v>165</v>
      </c>
      <c r="CB109" s="158" t="str">
        <f t="shared" si="107"/>
        <v>{"azure":{"style":"","degree":0,"pause":0,"pitch":0,"rate":-5,"volume":0},"emotion":{"sadness":-1,"joy":-1,"fear":-1,"disgust":-1,"anger":-1},"sgcom":{"mood":"","scale":-1}}</v>
      </c>
      <c r="AOE109" s="28"/>
    </row>
    <row r="110" spans="1:80 1071:1071" s="27" customFormat="1">
      <c r="A110" s="32">
        <f t="shared" si="108"/>
        <v>106</v>
      </c>
      <c r="B110" s="32"/>
      <c r="C110" s="32" t="s">
        <v>109</v>
      </c>
      <c r="D110" s="32"/>
      <c r="E110" s="34" t="s">
        <v>110</v>
      </c>
      <c r="F110" s="34" t="str">
        <f t="shared" si="111"/>
        <v/>
      </c>
      <c r="G110" s="34" t="str">
        <f t="shared" si="94"/>
        <v>unmute</v>
      </c>
      <c r="H110" s="116" t="str">
        <f t="shared" si="104"/>
        <v>{"av-command": "stt-control", "data": {"listening": true}}</v>
      </c>
      <c r="I110" s="36" t="str">
        <f t="shared" si="101"/>
        <v/>
      </c>
      <c r="J110" s="36" t="str">
        <f t="shared" si="105"/>
        <v/>
      </c>
      <c r="K110" s="116" t="str">
        <f t="shared" si="102"/>
        <v/>
      </c>
      <c r="L110" s="36"/>
      <c r="M110" s="136" t="str">
        <f t="shared" si="109"/>
        <v>mute</v>
      </c>
      <c r="N110" s="116" t="str">
        <f t="shared" si="106"/>
        <v>{ "command": "mute", "entity": "Eliza", "data" : null}</v>
      </c>
      <c r="O110" s="129" t="str">
        <f t="shared" si="112"/>
        <v>{ "command": "mute", "entity": "Eliza", "data" : null}</v>
      </c>
      <c r="P110" s="37" t="str">
        <f>IF(Y110&lt;&gt;"x","",j_opn&amp;label_role&amp;j_sep&amp;AE110&amp;j_nxt&amp;label_text&amp;j_sep &amp; AF110 &amp; j_nxt&amp;label_gpt_emo&amp;j_sep&amp;BD110&amp;j_nxt&amp;label_gpt_tone&amp;j_sep&amp;BE110&amp;j_nxt&amp;label_animate&amp;j_sub_opn&amp; label_pre &amp;j_sep &amp; IF(do_anim="","",BG110) &amp;j_nxt&amp;label_post&amp;j_sep&amp;  IF(do_anim="","",BH110) &amp;j_nxt &amp; label_next_state &amp; j_sep&amp;BI110&amp;J_sub_cls&amp;label_azure&amp;j_sub_opn&amp;label_style&amp;j_sep&amp;BL110&amp;j_nxt&amp;label_degree&amp;J_sep_num&amp;BM110&amp;j_nxt_num&amp;label_pause&amp;J_sep_num&amp;BN110&amp;j_nxt_num&amp;label_pitch&amp;J_sep_num&amp;BO110 &amp; j_nxt_num &amp; label_rate &amp; J_sep_num &amp; BP110 &amp; j_nxt_num &amp; label_volume &amp; J_sep_num &amp; BQ110 &amp; j_sub_cls_num&amp;label_emotion&amp;j_sub_opn&amp;label_sad&amp;J_sep_num&amp;BS110&amp;j_nxt_num&amp;label_joy&amp;J_sep_num&amp;BT110&amp;j_nxt_num&amp;label_fear&amp;J_sep_num&amp;BU110&amp;j_nxt_num&amp;label_disgust&amp;J_sep_num&amp;BV110&amp;j_nxt_num&amp;label_anger&amp;J_sep_num&amp;BW110&amp;j_sub_cls_num&amp;label_sg&amp;j_sub_opn&amp;label_mood&amp;j_sep&amp;BY110&amp;j_nxt&amp;label_scale&amp;J_sep_num&amp;BZ110&amp;j_end_num)</f>
        <v/>
      </c>
      <c r="Q110" s="37" t="str">
        <f t="shared" si="128"/>
        <v/>
      </c>
      <c r="R110" s="141"/>
      <c r="S110" s="148" t="str">
        <f t="shared" si="115"/>
        <v>user_spoke</v>
      </c>
      <c r="T110" s="137" t="str">
        <f t="shared" si="129"/>
        <v>{"words-in" : { "entity" : "user"} }</v>
      </c>
      <c r="U110" s="45"/>
      <c r="V110" s="35" t="str">
        <f>IF(OR(P110="",Y110=""),"",osc_exe_npmosc&amp;" --host "&amp;osc_ip&amp;":"&amp;osc_port_control&amp;" "&amp;Z110&amp; "  " &amp; j_qot &amp;X110 &amp; j_qot)</f>
        <v/>
      </c>
      <c r="W110" s="36" t="str">
        <f t="shared" si="113"/>
        <v/>
      </c>
      <c r="X110" s="36" t="str">
        <f t="shared" si="114"/>
        <v/>
      </c>
      <c r="Y110" s="34"/>
      <c r="Z110" s="36" t="str">
        <f t="shared" si="116"/>
        <v/>
      </c>
      <c r="AA110" s="36"/>
      <c r="AB110" s="36" t="str" cm="1">
        <f t="array" ref="AB110">IF(C110="observe",channel_av_observe,"") &amp; IF(C110="register",channel_av_register,"")  &amp; IF(C110="listen",channel_av_listen,"")</f>
        <v>/listen</v>
      </c>
      <c r="AC110" s="36" t="str">
        <f t="shared" si="130"/>
        <v/>
      </c>
      <c r="AD110" s="36" t="str">
        <f t="shared" si="131"/>
        <v/>
      </c>
      <c r="AE110" s="42"/>
      <c r="AF110" s="46" t="s">
        <v>283</v>
      </c>
      <c r="AG110" s="46"/>
      <c r="AH110" s="47"/>
      <c r="AI110" s="47"/>
      <c r="AJ110" s="47"/>
      <c r="AK110" s="56" t="str">
        <f t="shared" si="88"/>
        <v/>
      </c>
      <c r="AL110" s="47"/>
      <c r="AM110" s="133"/>
      <c r="AN110" s="47"/>
      <c r="AO110" s="47"/>
      <c r="AP110" s="47"/>
      <c r="AQ110" s="47"/>
      <c r="AR110" s="47"/>
      <c r="AS110" s="47"/>
      <c r="AT110" s="47"/>
      <c r="AU110" s="47"/>
      <c r="AV110" s="47"/>
      <c r="AW110" s="47"/>
      <c r="AX110" s="47"/>
      <c r="AY110" s="47"/>
      <c r="AZ110" s="47"/>
      <c r="BA110" s="47"/>
      <c r="BB110" s="47"/>
      <c r="BC110" s="48"/>
      <c r="BD110" s="42"/>
      <c r="BE110" s="35"/>
      <c r="BF110" s="48"/>
      <c r="BG110" s="108"/>
      <c r="BH110" s="108"/>
      <c r="BI110" s="108" t="s">
        <v>77</v>
      </c>
      <c r="BJ110" s="110"/>
      <c r="BK110" s="48"/>
      <c r="BL110" s="47"/>
      <c r="BM110" s="35"/>
      <c r="BN110" s="35"/>
      <c r="BO110" s="35"/>
      <c r="BP110" s="35"/>
      <c r="BQ110" s="35"/>
      <c r="BR110" s="48"/>
      <c r="BS110" s="35"/>
      <c r="BT110" s="35"/>
      <c r="BU110" s="35"/>
      <c r="BV110" s="35"/>
      <c r="BW110" s="35"/>
      <c r="BX110" s="48"/>
      <c r="BY110" s="34"/>
      <c r="BZ110" s="43"/>
      <c r="CA110" s="43"/>
      <c r="CB110" s="158" t="str">
        <f t="shared" si="107"/>
        <v/>
      </c>
      <c r="AOE110" s="28"/>
    </row>
    <row r="111" spans="1:80 1071:1071" s="27" customFormat="1">
      <c r="A111" s="32">
        <f t="shared" si="108"/>
        <v>107</v>
      </c>
      <c r="B111" s="32"/>
      <c r="C111" s="32" t="s">
        <v>284</v>
      </c>
      <c r="D111" s="32"/>
      <c r="E111" s="34" t="s">
        <v>285</v>
      </c>
      <c r="F111" s="34" t="str">
        <f t="shared" si="111"/>
        <v/>
      </c>
      <c r="G111" s="34" t="str">
        <f t="shared" si="94"/>
        <v>mute</v>
      </c>
      <c r="H111" s="116" t="str">
        <f t="shared" si="104"/>
        <v>{"av-command": "stt-control", "data": {"listening": false}}</v>
      </c>
      <c r="I111" s="36" t="str">
        <f t="shared" si="101"/>
        <v/>
      </c>
      <c r="J111" s="36" t="str">
        <f t="shared" si="105"/>
        <v/>
      </c>
      <c r="K111" s="116" t="str">
        <f t="shared" si="102"/>
        <v/>
      </c>
      <c r="L111" s="36"/>
      <c r="M111" s="136" t="str">
        <f t="shared" si="109"/>
        <v/>
      </c>
      <c r="N111" s="116" t="str">
        <f t="shared" si="106"/>
        <v/>
      </c>
      <c r="O111" s="129" t="str">
        <f t="shared" si="112"/>
        <v/>
      </c>
      <c r="P111" s="37" t="str">
        <f>IF(Y111&lt;&gt;"x","",j_opn&amp;label_deepfake_id&amp;j_sep&amp;   A111 &amp; j_nxt &amp;  "type" &amp; j_sep &amp; label_meat &amp; j_nxt&amp; "channel" &amp;j_sep&amp;Z111&amp;j_nxt&amp;label_text&amp;j_sep&amp;AF111&amp;j_nxt&amp;label_gpt_emo&amp;j_sep&amp;BD111&amp;j_nxt&amp;label_gpt_tone&amp;j_sep&amp;BE111&amp;j_nxt&amp;label_animate&amp;j_sub_opn&amp; label_pre &amp;j_sep &amp; IF(do_anim="","",BG111) &amp;j_nxt&amp;label_post&amp;j_sep&amp;  IF(do_anim="","",BH111) &amp;j_nxt &amp; label_next_state &amp; j_sep&amp;BI111&amp;J_sub_cls&amp;label_emotion&amp;j_sub_opn&amp;label_sad&amp;J_sep_num&amp;BS111&amp;j_nxt_num&amp;label_joy&amp;J_sep_num&amp;BT111&amp;j_nxt_num&amp;label_fear&amp;J_sep_num&amp;BU111&amp;j_nxt_num&amp;label_disgust&amp;J_sep_num&amp;BV111&amp;j_nxt_num&amp;label_anger&amp;J_sep_num&amp;BW111&amp;j_sub_cls_num&amp;label_sg&amp;j_sub_opn&amp;label_mood&amp;j_sep&amp;BY111&amp;j_nxt&amp;label_scale&amp;J_sep_num&amp;BZ111&amp;j_end_num)</f>
        <v>{"id":"107","type":"meat","channel":"play","text":"It doesn't really matter.","gpt_emotion":"","gpt_tone":"","animate":{"pre":"","post":"","next_state":""},"emotion":{"sadness":-1,"joy":-1,"fear":-1,"disgust":-1,"anger":-1},"sgcom":{"mood":"","scale":-1}}</v>
      </c>
      <c r="Q111" s="37" t="str">
        <f t="shared" si="128"/>
        <v>{"id":"107","type":"meat","channel":"play","text":"It doesn't really matter.","gpt_emotion":"","gpt_tone":"","animate":{"pre":"","post":"","next_state":""},"emotion":{"sadness":-1,"joy":-1,"fear":-1,"disgust":-1,"anger":-1},"sgcom":{"mood":"","scale":-1}}</v>
      </c>
      <c r="R111" s="141"/>
      <c r="S111" s="148" t="str">
        <f t="shared" si="115"/>
        <v>mask_spoke</v>
      </c>
      <c r="T111" s="137" t="str">
        <f t="shared" si="129"/>
        <v>{"words-in" : { "entity" : "Eliza"} }</v>
      </c>
      <c r="U111" s="45"/>
      <c r="V111" s="35" t="str">
        <f>IF(OR(P111="",Y111=""),"",osc_exe_npmosc&amp;" --host "&amp;osc_ip&amp;":"&amp;osc_port_control&amp;" "&amp;osc_channel_meat_stub&amp; "  " &amp; j_qot &amp;X111 &amp; j_qot)</f>
        <v>/opt/homebrew/bin/osc --host 10.10.10.10:5918 /meat  "{#Qid#Q:#Q107#Q#C#Qtype#Q:#Qmeat#Q#C#Qchannel#Q:#Qplay#Q#C#Qtext#Q:#QIt#Sdoesn#At#Sreally#Smatter.#Q#C#Qgpt_emotion#Q:#Q#Q#C#Qgpt_tone#Q:#Q#Q#C#Qanimate#Q:{#Qpre#Q:#Q#Q#C#Qpost#Q:#Q#Q#C#Qnext_state#Q:#Q#Q}#C#Qemotion#Q:{#Qsadness#Q:-1#C#Qjoy#Q:-1#C#Qfear#Q:-1#C#Qdisgust#Q:-1#C#Qanger#Q:-1}#C#Qsgcom#Q:{#Qmood#Q:#Q#Q#C#Qscale#Q:-1}}"</v>
      </c>
      <c r="W111" s="36" t="str">
        <f t="shared" si="113"/>
        <v>/opt/homebrew/bin/sendosc 10.10.10.10 5918 play s {\"id\":\"107\",\"type\":\"meat\",\"channel\":\"play\",\"text\":\"It\ doesn't\ really\ matter.\",\"gpt_emotion\":\"\",\"gpt_tone\":\"\",\"animate\":{\"pre\":\"\",\"post\":\"\",\"next_state\":\"\"\},\"emotion\":{\"sadness\":-1,\"joy\":-1,\"fear\":-1,\"disgust\":-1,\"anger\":-1\},\"sgcom\":{\"mood\":\"\",\"scale\":-1\}\}</v>
      </c>
      <c r="X111" s="36" t="str">
        <f t="shared" si="114"/>
        <v>{#Qid#Q:#Q107#Q#C#Qtype#Q:#Qmeat#Q#C#Qchannel#Q:#Qplay#Q#C#Qtext#Q:#QIt#Sdoesn#At#Sreally#Smatter.#Q#C#Qgpt_emotion#Q:#Q#Q#C#Qgpt_tone#Q:#Q#Q#C#Qanimate#Q:{#Qpre#Q:#Q#Q#C#Qpost#Q:#Q#Q#C#Qnext_state#Q:#Q#Q}#C#Qemotion#Q:{#Qsadness#Q:-1#C#Qjoy#Q:-1#C#Qfear#Q:-1#C#Qdisgust#Q:-1#C#Qanger#Q:-1}#C#Qsgcom#Q:{#Qmood#Q:#Q#Q#C#Qscale#Q:-1}}</v>
      </c>
      <c r="Y111" s="34" t="s">
        <v>102</v>
      </c>
      <c r="Z111" s="36" t="str">
        <f t="shared" si="116"/>
        <v>play</v>
      </c>
      <c r="AA111" s="36"/>
      <c r="AB111" s="36" t="str" cm="1">
        <f t="array" ref="AB111">IF(C111="observe",channel_av_observe,"") &amp; IF(C111="register",channel_av_register,"")  &amp; IF(C111="listen",channel_av_listen,"")</f>
        <v/>
      </c>
      <c r="AC111" s="36" t="str">
        <f t="shared" si="130"/>
        <v/>
      </c>
      <c r="AD111" s="36" t="str">
        <f t="shared" si="131"/>
        <v/>
      </c>
      <c r="AE111" s="42" t="s">
        <v>103</v>
      </c>
      <c r="AF111" s="149" t="str">
        <f t="shared" ref="AF111:AF116" si="132">IF(language="en",AN74,AO74)</f>
        <v>It doesn't really matter.</v>
      </c>
      <c r="AG111" s="70"/>
      <c r="AH111" s="71"/>
      <c r="AI111" s="71"/>
      <c r="AJ111" s="71"/>
      <c r="AK111" s="56" t="str">
        <f t="shared" si="88"/>
        <v/>
      </c>
      <c r="AL111" s="70"/>
      <c r="AM111" s="133"/>
      <c r="AN111" s="70"/>
      <c r="AO111" s="70"/>
      <c r="AP111" s="70"/>
      <c r="AQ111" s="70"/>
      <c r="AR111" s="70"/>
      <c r="AS111" s="70"/>
      <c r="AT111" s="70"/>
      <c r="AU111" s="70"/>
      <c r="AV111" s="70"/>
      <c r="AW111" s="70"/>
      <c r="AX111" s="70"/>
      <c r="AY111" s="70"/>
      <c r="AZ111" s="70"/>
      <c r="BA111" s="70"/>
      <c r="BB111" s="70"/>
      <c r="BC111" s="72"/>
      <c r="BD111" s="42"/>
      <c r="BE111" s="42"/>
      <c r="BF111" s="72"/>
      <c r="BG111" s="104"/>
      <c r="BH111" s="108"/>
      <c r="BI111" s="108" t="s">
        <v>77</v>
      </c>
      <c r="BJ111" s="110"/>
      <c r="BK111" s="72"/>
      <c r="BL111" s="42"/>
      <c r="BM111" s="35">
        <v>0</v>
      </c>
      <c r="BN111" s="35">
        <v>0</v>
      </c>
      <c r="BO111" s="35">
        <v>0</v>
      </c>
      <c r="BP111" s="35">
        <v>0</v>
      </c>
      <c r="BQ111" s="35">
        <v>0</v>
      </c>
      <c r="BR111" s="72"/>
      <c r="BS111" s="35">
        <v>-1</v>
      </c>
      <c r="BT111" s="35">
        <v>-1</v>
      </c>
      <c r="BU111" s="35">
        <v>-1</v>
      </c>
      <c r="BV111" s="35">
        <v>-1</v>
      </c>
      <c r="BW111" s="35">
        <v>-1</v>
      </c>
      <c r="BX111" s="72"/>
      <c r="BY111" s="34"/>
      <c r="BZ111" s="43" t="s">
        <v>165</v>
      </c>
      <c r="CA111" s="43" t="s">
        <v>165</v>
      </c>
      <c r="CB111" s="158" t="str">
        <f t="shared" si="107"/>
        <v>{"azure":{"style":"","degree":0,"pause":0,"pitch":0,"rate":0,"volume":0},"emotion":{"sadness":-1,"joy":-1,"fear":-1,"disgust":-1,"anger":-1},"sgcom":{"mood":"","scale":-1}}</v>
      </c>
      <c r="AOE111" s="28"/>
    </row>
    <row r="112" spans="1:80 1071:1071" s="27" customFormat="1">
      <c r="A112" s="32">
        <f t="shared" si="108"/>
        <v>108</v>
      </c>
      <c r="B112" s="32"/>
      <c r="C112" s="32" t="s">
        <v>236</v>
      </c>
      <c r="D112" s="69" t="s">
        <v>257</v>
      </c>
      <c r="E112" s="34" t="s">
        <v>286</v>
      </c>
      <c r="F112" s="34" t="str">
        <f t="shared" si="111"/>
        <v/>
      </c>
      <c r="G112" s="34" t="str">
        <f t="shared" si="94"/>
        <v>mute</v>
      </c>
      <c r="H112" s="116" t="str">
        <f t="shared" si="104"/>
        <v>{"av-command": "stt-control", "data": {"listening": false}}</v>
      </c>
      <c r="I112" s="36" t="str">
        <f t="shared" si="101"/>
        <v>fakeplay</v>
      </c>
      <c r="J112" s="36" t="str">
        <f t="shared" si="105"/>
        <v>{"command" : "playfake","id":%id,"screens":[%screens]}</v>
      </c>
      <c r="K112" s="116" t="str">
        <f t="shared" si="102"/>
        <v>{"command" : "playfake","id":108,"screens":[1,2,3]}</v>
      </c>
      <c r="L112" s="36"/>
      <c r="M112" s="136" t="str">
        <f t="shared" si="109"/>
        <v/>
      </c>
      <c r="N112" s="116" t="str">
        <f t="shared" si="106"/>
        <v/>
      </c>
      <c r="O112" s="129" t="str">
        <f t="shared" si="112"/>
        <v/>
      </c>
      <c r="P112" s="83" t="str">
        <f>"{""id"":" &amp; A112 &amp; ", ""screens"":[" &amp; D112 &amp; "]}"</f>
        <v>{"id":108, "screens":[1,2,3]}</v>
      </c>
      <c r="Q112" s="37" t="str">
        <f t="shared" si="128"/>
        <v>{"id":108, "screens":[1,2,3]}</v>
      </c>
      <c r="R112" s="141"/>
      <c r="S112" s="148" t="str">
        <f t="shared" si="115"/>
        <v>clone_spoke</v>
      </c>
      <c r="T112" s="137" t="str">
        <f t="shared" si="129"/>
        <v>{"words-in" : { "entity" : "deepfake"} }</v>
      </c>
      <c r="U112" s="45"/>
      <c r="V112" s="35" t="str">
        <f>osc_exe_npmosc&amp;" --host "&amp;osc_ip&amp;":"&amp;osc_port_control&amp;" "&amp;osc_channel_play_audio&amp;" "&amp;AL112</f>
        <v>/opt/homebrew/bin/osc --host 10.10.10.10:5918 /play/audio 108_never_mattered.wav</v>
      </c>
      <c r="W112" s="36" t="str">
        <f t="shared" si="113"/>
        <v/>
      </c>
      <c r="X112" s="36" t="str">
        <f t="shared" si="114"/>
        <v/>
      </c>
      <c r="Y112" s="34"/>
      <c r="Z112" s="36" t="str">
        <f t="shared" si="116"/>
        <v/>
      </c>
      <c r="AA112" s="36"/>
      <c r="AB112" s="36" t="str" cm="1">
        <f t="array" ref="AB112">IF(C112="observe",channel_av_observe,"") &amp; IF(C112="register",channel_av_register,"")  &amp; IF(C112="listen",channel_av_listen,"")</f>
        <v/>
      </c>
      <c r="AC112" s="36" t="str">
        <f t="shared" si="130"/>
        <v>/screen</v>
      </c>
      <c r="AD112" s="36" t="str">
        <f t="shared" si="131"/>
        <v/>
      </c>
      <c r="AE112" s="42"/>
      <c r="AF112" s="149" t="str">
        <f t="shared" si="132"/>
        <v>You never really mattered</v>
      </c>
      <c r="AG112" s="70"/>
      <c r="AH112" s="71"/>
      <c r="AI112" s="71"/>
      <c r="AJ112" s="71"/>
      <c r="AK112" s="56" t="str">
        <f t="shared" si="88"/>
        <v/>
      </c>
      <c r="AL112" s="70" t="str">
        <f>AL75</f>
        <v>108_never_mattered.wav</v>
      </c>
      <c r="AM112" s="133"/>
      <c r="AN112" s="70"/>
      <c r="AO112" s="70"/>
      <c r="AP112" s="70"/>
      <c r="AQ112" s="70"/>
      <c r="AR112" s="70"/>
      <c r="AS112" s="70"/>
      <c r="AT112" s="70"/>
      <c r="AU112" s="70"/>
      <c r="AV112" s="70"/>
      <c r="AW112" s="70"/>
      <c r="AX112" s="70"/>
      <c r="AY112" s="70"/>
      <c r="AZ112" s="70"/>
      <c r="BA112" s="70"/>
      <c r="BB112" s="70"/>
      <c r="BC112" s="72"/>
      <c r="BD112" s="42"/>
      <c r="BE112" s="35"/>
      <c r="BF112" s="72"/>
      <c r="BG112" s="108"/>
      <c r="BH112" s="108"/>
      <c r="BI112" s="108" t="s">
        <v>77</v>
      </c>
      <c r="BJ112" s="110"/>
      <c r="BK112" s="72"/>
      <c r="BL112" s="70"/>
      <c r="BM112" s="35"/>
      <c r="BN112" s="35"/>
      <c r="BO112" s="35"/>
      <c r="BP112" s="35"/>
      <c r="BQ112" s="35"/>
      <c r="BR112" s="72"/>
      <c r="BS112" s="35"/>
      <c r="BT112" s="35"/>
      <c r="BU112" s="35"/>
      <c r="BV112" s="35"/>
      <c r="BW112" s="35"/>
      <c r="BX112" s="72"/>
      <c r="BY112" s="34"/>
      <c r="BZ112" s="35"/>
      <c r="CA112" s="35"/>
      <c r="CB112" s="158" t="str">
        <f t="shared" si="107"/>
        <v/>
      </c>
      <c r="AOE112" s="28"/>
    </row>
    <row r="113" spans="1:86 1071:1071" s="27" customFormat="1">
      <c r="A113" s="32">
        <f t="shared" si="108"/>
        <v>109</v>
      </c>
      <c r="B113" s="32"/>
      <c r="C113" s="32" t="s">
        <v>284</v>
      </c>
      <c r="D113" s="32"/>
      <c r="E113" s="34" t="s">
        <v>285</v>
      </c>
      <c r="F113" s="34" t="str">
        <f t="shared" si="111"/>
        <v/>
      </c>
      <c r="G113" s="34" t="str">
        <f t="shared" si="94"/>
        <v>mute</v>
      </c>
      <c r="H113" s="116" t="str">
        <f t="shared" si="104"/>
        <v>{"av-command": "stt-control", "data": {"listening": false}}</v>
      </c>
      <c r="I113" s="36" t="str">
        <f t="shared" si="101"/>
        <v/>
      </c>
      <c r="J113" s="36" t="str">
        <f t="shared" si="105"/>
        <v/>
      </c>
      <c r="K113" s="116" t="str">
        <f t="shared" si="102"/>
        <v/>
      </c>
      <c r="L113" s="36"/>
      <c r="M113" s="136" t="str">
        <f t="shared" si="109"/>
        <v/>
      </c>
      <c r="N113" s="116" t="str">
        <f t="shared" si="106"/>
        <v/>
      </c>
      <c r="O113" s="129" t="str">
        <f t="shared" si="112"/>
        <v/>
      </c>
      <c r="P113" s="37" t="str">
        <f>IF(Y113&lt;&gt;"x","",j_opn&amp;label_deepfake_id&amp;j_sep&amp;   A113 &amp; j_nxt &amp;  "type" &amp; j_sep &amp; label_meat &amp; j_nxt&amp; "channel" &amp;j_sep&amp;Z113&amp;j_nxt&amp;label_text&amp;j_sep&amp;AF113&amp;j_nxt&amp;label_gpt_emo&amp;j_sep&amp;BD113&amp;j_nxt&amp;label_gpt_tone&amp;j_sep&amp;BE113&amp;j_nxt&amp;label_animate&amp;j_sub_opn&amp; label_pre &amp;j_sep &amp; IF(do_anim="","",BG113) &amp;j_nxt&amp;label_post&amp;j_sep&amp;  IF(do_anim="","",BH113) &amp;j_nxt &amp; label_next_state &amp; j_sep&amp;BI113&amp;J_sub_cls&amp;label_emotion&amp;j_sub_opn&amp;label_sad&amp;J_sep_num&amp;BS113&amp;j_nxt_num&amp;label_joy&amp;J_sep_num&amp;BT113&amp;j_nxt_num&amp;label_fear&amp;J_sep_num&amp;BU113&amp;j_nxt_num&amp;label_disgust&amp;J_sep_num&amp;BV113&amp;j_nxt_num&amp;label_anger&amp;J_sep_num&amp;BW113&amp;j_sub_cls_num&amp;label_sg&amp;j_sub_opn&amp;label_mood&amp;j_sep&amp;BY113&amp;j_nxt&amp;label_scale&amp;J_sep_num&amp;BZ113&amp;j_end_num)</f>
        <v>{"id":"109","type":"meat","channel":"play","text":"What matters is that we’re here with you now. So you don’t have to be. ","gpt_emotion":"","gpt_tone":"","animate":{"pre":"","post":"","next_state":""},"emotion":{"sadness":-1,"joy":-1,"fear":-1,"disgust":-1,"anger":-1},"sgcom":{"mood":"","scale":-1}}</v>
      </c>
      <c r="Q113" s="37" t="str">
        <f t="shared" si="128"/>
        <v>{"id":"109","type":"meat","channel":"play","text":"What matters is that we’re here with you now. So you don’t have to be. ","gpt_emotion":"","gpt_tone":"","animate":{"pre":"","post":"","next_state":""},"emotion":{"sadness":-1,"joy":-1,"fear":-1,"disgust":-1,"anger":-1},"sgcom":{"mood":"","scale":-1}}</v>
      </c>
      <c r="R113" s="141">
        <v>0</v>
      </c>
      <c r="S113" s="148">
        <f t="shared" si="115"/>
        <v>0</v>
      </c>
      <c r="T113" s="137">
        <f t="shared" si="129"/>
        <v>0</v>
      </c>
      <c r="U113" s="45"/>
      <c r="V113" s="35" t="str">
        <f>IF(OR(P113="",Y113=""),"",osc_exe_npmosc&amp;" --host "&amp;osc_ip&amp;":"&amp;osc_port_control&amp;" "&amp;osc_channel_meat_stub&amp; "  " &amp; j_qot &amp;X113 &amp; j_qot)</f>
        <v>/opt/homebrew/bin/osc --host 10.10.10.10:5918 /meat  "{#Qid#Q:#Q109#Q#C#Qtype#Q:#Qmeat#Q#C#Qchannel#Q:#Qplay#Q#C#Qtext#Q:#QWhat#Smatters#Sis#Sthat#Swe’re#Shere#Swith#Syou#Snow.#SSo#Syou#Sdon’t#Shave#Sto#Sbe.#S#Q#C#Qgpt_emotion#Q:#Q#Q#C#Qgpt_tone#Q:#Q#Q#C#Qanimate#Q:{#Qpre#Q:#Q#Q#C#Qpost#Q:#Q#Q#C#Qnext_state#Q:#Q#Q}#C#Qemotion#Q:{#Qsadness#Q:-1#C#Qjoy#Q:-1#C#Qfear#Q:-1#C#Qdisgust#Q:-1#C#Qanger#Q:-1}#C#Qsgcom#Q:{#Qmood#Q:#Q#Q#C#Qscale#Q:-1}}"</v>
      </c>
      <c r="W113" s="36" t="str">
        <f t="shared" si="113"/>
        <v>/opt/homebrew/bin/sendosc 10.10.10.10 5918 play s {\"id\":\"109\",\"type\":\"meat\",\"channel\":\"play\",\"text\":\"What\ matters\ is\ that\ we’re\ here\ with\ you\ now.\ So\ you\ don’t\ have\ to\ be.\ \",\"gpt_emotion\":\"\",\"gpt_tone\":\"\",\"animate\":{\"pre\":\"\",\"post\":\"\",\"next_state\":\"\"\},\"emotion\":{\"sadness\":-1,\"joy\":-1,\"fear\":-1,\"disgust\":-1,\"anger\":-1\},\"sgcom\":{\"mood\":\"\",\"scale\":-1\}\}</v>
      </c>
      <c r="X113" s="36" t="str">
        <f t="shared" si="114"/>
        <v>{#Qid#Q:#Q109#Q#C#Qtype#Q:#Qmeat#Q#C#Qchannel#Q:#Qplay#Q#C#Qtext#Q:#QWhat#Smatters#Sis#Sthat#Swe’re#Shere#Swith#Syou#Snow.#SSo#Syou#Sdon’t#Shave#Sto#Sbe.#S#Q#C#Qgpt_emotion#Q:#Q#Q#C#Qgpt_tone#Q:#Q#Q#C#Qanimate#Q:{#Qpre#Q:#Q#Q#C#Qpost#Q:#Q#Q#C#Qnext_state#Q:#Q#Q}#C#Qemotion#Q:{#Qsadness#Q:-1#C#Qjoy#Q:-1#C#Qfear#Q:-1#C#Qdisgust#Q:-1#C#Qanger#Q:-1}#C#Qsgcom#Q:{#Qmood#Q:#Q#Q#C#Qscale#Q:-1}}</v>
      </c>
      <c r="Y113" s="34" t="s">
        <v>102</v>
      </c>
      <c r="Z113" s="36" t="str">
        <f t="shared" si="116"/>
        <v>play</v>
      </c>
      <c r="AA113" s="36"/>
      <c r="AB113" s="36" t="str" cm="1">
        <f t="array" ref="AB113">IF(C113="observe",channel_av_observe,"") &amp; IF(C113="register",channel_av_register,"")  &amp; IF(C113="listen",channel_av_listen,"")</f>
        <v/>
      </c>
      <c r="AC113" s="36" t="str">
        <f t="shared" si="130"/>
        <v/>
      </c>
      <c r="AD113" s="36" t="str">
        <f t="shared" si="131"/>
        <v/>
      </c>
      <c r="AE113" s="42" t="s">
        <v>103</v>
      </c>
      <c r="AF113" s="149" t="str">
        <f t="shared" si="132"/>
        <v xml:space="preserve">What matters is that we’re here with you now. So you don’t have to be. </v>
      </c>
      <c r="AG113" s="70"/>
      <c r="AH113" s="71"/>
      <c r="AI113" s="71"/>
      <c r="AJ113" s="71"/>
      <c r="AK113" s="56" t="str">
        <f t="shared" si="88"/>
        <v/>
      </c>
      <c r="AL113" s="70"/>
      <c r="AM113" s="133"/>
      <c r="AN113" s="70"/>
      <c r="AO113" s="70"/>
      <c r="AP113" s="70"/>
      <c r="AQ113" s="70"/>
      <c r="AR113" s="70"/>
      <c r="AS113" s="70"/>
      <c r="AT113" s="70"/>
      <c r="AU113" s="70"/>
      <c r="AV113" s="70"/>
      <c r="AW113" s="70"/>
      <c r="AX113" s="70"/>
      <c r="AY113" s="70"/>
      <c r="AZ113" s="70"/>
      <c r="BA113" s="70"/>
      <c r="BB113" s="70"/>
      <c r="BC113" s="72"/>
      <c r="BD113" s="42"/>
      <c r="BE113" s="42"/>
      <c r="BF113" s="72"/>
      <c r="BG113" s="108"/>
      <c r="BH113" s="108"/>
      <c r="BI113" s="108" t="s">
        <v>77</v>
      </c>
      <c r="BJ113" s="110"/>
      <c r="BK113" s="72"/>
      <c r="BL113" s="42"/>
      <c r="BM113" s="35">
        <v>0</v>
      </c>
      <c r="BN113" s="35">
        <v>0</v>
      </c>
      <c r="BO113" s="35">
        <v>0</v>
      </c>
      <c r="BP113" s="35">
        <v>0</v>
      </c>
      <c r="BQ113" s="35">
        <v>0</v>
      </c>
      <c r="BR113" s="72"/>
      <c r="BS113" s="35">
        <v>-1</v>
      </c>
      <c r="BT113" s="35">
        <v>-1</v>
      </c>
      <c r="BU113" s="35">
        <v>-1</v>
      </c>
      <c r="BV113" s="35">
        <v>-1</v>
      </c>
      <c r="BW113" s="35">
        <v>-1</v>
      </c>
      <c r="BX113" s="72"/>
      <c r="BY113" s="34"/>
      <c r="BZ113" s="43" t="s">
        <v>165</v>
      </c>
      <c r="CA113" s="43" t="s">
        <v>165</v>
      </c>
      <c r="CB113" s="158" t="str">
        <f t="shared" ref="CB113:CB122" si="133">IF(Y113&lt;&gt;"x","",j_opn&amp;label_azure&amp;j_sub_opn&amp;label_style&amp;j_sep&amp;BL113&amp;j_nxt&amp;label_degree&amp;J_sep_num&amp;BM113&amp;j_nxt_num&amp;label_pause&amp;J_sep_num&amp;BN113&amp;j_nxt_num&amp;label_pitch&amp;J_sep_num&amp;BO113&amp;j_nxt_num&amp;label_rate&amp;J_sep_num&amp;BP113&amp;j_nxt_num&amp;label_volume&amp;J_sep_num&amp;BQ113&amp;j_sub_cls_num&amp;label_emotion&amp;j_sub_opn&amp;label_sad&amp;J_sep_num&amp;BS113&amp;j_nxt_num&amp;label_joy&amp;J_sep_num&amp;BT113&amp;j_nxt_num&amp;label_fear&amp;J_sep_num&amp;BU113&amp;j_nxt_num&amp;label_disgust&amp;J_sep_num&amp;BV113&amp;j_nxt_num&amp;label_anger&amp;J_sep_num&amp;BW113&amp;j_sub_cls_num&amp;label_sg&amp;j_sub_opn&amp;label_mood&amp;j_sep&amp;BY113&amp;j_nxt&amp;label_scale&amp;J_sep_num&amp;BZ113&amp;j_end_num)</f>
        <v>{"azure":{"style":"","degree":0,"pause":0,"pitch":0,"rate":0,"volume":0},"emotion":{"sadness":-1,"joy":-1,"fear":-1,"disgust":-1,"anger":-1},"sgcom":{"mood":"","scale":-1}}</v>
      </c>
      <c r="AOE113" s="28"/>
    </row>
    <row r="114" spans="1:86 1071:1071" s="27" customFormat="1">
      <c r="A114" s="32">
        <f t="shared" si="108"/>
        <v>110</v>
      </c>
      <c r="B114" s="32"/>
      <c r="C114" s="32" t="s">
        <v>236</v>
      </c>
      <c r="D114" s="69" t="s">
        <v>257</v>
      </c>
      <c r="E114" s="34" t="s">
        <v>286</v>
      </c>
      <c r="F114" s="34" t="str">
        <f t="shared" si="111"/>
        <v/>
      </c>
      <c r="G114" s="34" t="str">
        <f t="shared" si="94"/>
        <v>mute</v>
      </c>
      <c r="H114" s="116" t="str">
        <f t="shared" ref="H114:H122" si="134">IFERROR(LOOKUP(G114, table_observe_commands),"")</f>
        <v>{"av-command": "stt-control", "data": {"listening": false}}</v>
      </c>
      <c r="I114" s="36" t="str">
        <f t="shared" si="101"/>
        <v>fakeplay</v>
      </c>
      <c r="J114" s="36" t="str">
        <f t="shared" ref="J114:J122" si="135">IFERROR(LOOKUP(I114, table_td_commands),"")</f>
        <v>{"command" : "playfake","id":%id,"screens":[%screens]}</v>
      </c>
      <c r="K114" s="116" t="str">
        <f t="shared" si="102"/>
        <v>{"command" : "playfake","id":110,"screens":[1,2,3]}</v>
      </c>
      <c r="L114" s="36"/>
      <c r="M114" s="136" t="str">
        <f t="shared" si="109"/>
        <v/>
      </c>
      <c r="N114" s="116" t="str">
        <f t="shared" ref="N114:N122" si="136">IFERROR(LOOKUP(M114, table_bot_commands),"")</f>
        <v/>
      </c>
      <c r="O114" s="129" t="str">
        <f t="shared" si="112"/>
        <v/>
      </c>
      <c r="P114" s="83" t="str">
        <f>"{""id"":" &amp; A114 &amp; ", ""screens"":[" &amp; D114 &amp; "]}"</f>
        <v>{"id":110, "screens":[1,2,3]}</v>
      </c>
      <c r="Q114" s="37" t="str">
        <f t="shared" si="128"/>
        <v>{"id":110, "screens":[1,2,3]}</v>
      </c>
      <c r="R114" s="141"/>
      <c r="S114" s="148" t="str">
        <f t="shared" si="115"/>
        <v>clone_spoke</v>
      </c>
      <c r="T114" s="137" t="str">
        <f t="shared" si="129"/>
        <v>{"words-in" : { "entity" : "deepfake"} }</v>
      </c>
      <c r="U114" s="45"/>
      <c r="V114" s="35" t="str">
        <f>osc_exe_npmosc&amp;" --host "&amp;osc_ip&amp;":"&amp;osc_port_control&amp;" "&amp;osc_channel_play_audio&amp;" "&amp;AL114</f>
        <v>/opt/homebrew/bin/osc --host 10.10.10.10:5918 /play/audio 110_what_matters.wav</v>
      </c>
      <c r="W114" s="36" t="str">
        <f t="shared" si="113"/>
        <v/>
      </c>
      <c r="X114" s="36" t="str">
        <f t="shared" si="114"/>
        <v/>
      </c>
      <c r="Y114" s="34"/>
      <c r="Z114" s="36" t="str">
        <f t="shared" si="116"/>
        <v/>
      </c>
      <c r="AA114" s="36"/>
      <c r="AB114" s="36" t="str" cm="1">
        <f t="array" ref="AB114">IF(C114="observe",channel_av_observe,"") &amp; IF(C114="register",channel_av_register,"")  &amp; IF(C114="listen",channel_av_listen,"")</f>
        <v/>
      </c>
      <c r="AC114" s="36" t="str">
        <f t="shared" si="130"/>
        <v>/screen</v>
      </c>
      <c r="AD114" s="36" t="str">
        <f t="shared" si="131"/>
        <v/>
      </c>
      <c r="AE114" s="42"/>
      <c r="AF114" s="149" t="str">
        <f t="shared" si="132"/>
        <v xml:space="preserve">What matters is that we’re here with you now. So you don’t have to be. </v>
      </c>
      <c r="AG114" s="70"/>
      <c r="AH114" s="71"/>
      <c r="AI114" s="71"/>
      <c r="AJ114" s="71"/>
      <c r="AK114" s="56" t="str">
        <f t="shared" si="88"/>
        <v/>
      </c>
      <c r="AL114" s="70" t="str">
        <f>AL77</f>
        <v>110_what_matters.wav</v>
      </c>
      <c r="AM114" s="133"/>
      <c r="AN114" s="70"/>
      <c r="AO114" s="70"/>
      <c r="AP114" s="70"/>
      <c r="AQ114" s="70"/>
      <c r="AR114" s="70"/>
      <c r="AS114" s="70"/>
      <c r="AT114" s="70"/>
      <c r="AU114" s="70"/>
      <c r="AV114" s="70"/>
      <c r="AW114" s="70"/>
      <c r="AX114" s="70"/>
      <c r="AY114" s="70"/>
      <c r="AZ114" s="70"/>
      <c r="BA114" s="70"/>
      <c r="BB114" s="70"/>
      <c r="BC114" s="72"/>
      <c r="BD114" s="42"/>
      <c r="BE114" s="35"/>
      <c r="BF114" s="72"/>
      <c r="BG114" s="108"/>
      <c r="BH114" s="108"/>
      <c r="BI114" s="108" t="s">
        <v>77</v>
      </c>
      <c r="BJ114" s="110"/>
      <c r="BK114" s="72"/>
      <c r="BL114" s="70"/>
      <c r="BM114" s="35"/>
      <c r="BN114" s="35"/>
      <c r="BO114" s="35"/>
      <c r="BP114" s="35"/>
      <c r="BQ114" s="35"/>
      <c r="BR114" s="72"/>
      <c r="BS114" s="35"/>
      <c r="BT114" s="35"/>
      <c r="BU114" s="35"/>
      <c r="BV114" s="35"/>
      <c r="BW114" s="35"/>
      <c r="BX114" s="72"/>
      <c r="BY114" s="34"/>
      <c r="BZ114" s="35"/>
      <c r="CA114" s="35"/>
      <c r="CB114" s="158" t="str">
        <f t="shared" si="133"/>
        <v/>
      </c>
      <c r="AOE114" s="28"/>
    </row>
    <row r="115" spans="1:86 1071:1071" s="27" customFormat="1">
      <c r="A115" s="32">
        <f t="shared" si="108"/>
        <v>111</v>
      </c>
      <c r="B115" s="32"/>
      <c r="C115" s="32" t="s">
        <v>284</v>
      </c>
      <c r="D115" s="32"/>
      <c r="E115" s="34" t="s">
        <v>285</v>
      </c>
      <c r="F115" s="34" t="str">
        <f t="shared" si="111"/>
        <v/>
      </c>
      <c r="G115" s="34" t="str">
        <f t="shared" si="94"/>
        <v>mute</v>
      </c>
      <c r="H115" s="116" t="str">
        <f t="shared" si="134"/>
        <v>{"av-command": "stt-control", "data": {"listening": false}}</v>
      </c>
      <c r="I115" s="36" t="str">
        <f t="shared" si="101"/>
        <v/>
      </c>
      <c r="J115" s="36" t="str">
        <f t="shared" si="135"/>
        <v/>
      </c>
      <c r="K115" s="116" t="str">
        <f t="shared" si="102"/>
        <v/>
      </c>
      <c r="L115" s="36"/>
      <c r="M115" s="136" t="str">
        <f t="shared" si="109"/>
        <v/>
      </c>
      <c r="N115" s="116" t="str">
        <f t="shared" si="136"/>
        <v/>
      </c>
      <c r="O115" s="129" t="str">
        <f t="shared" si="112"/>
        <v/>
      </c>
      <c r="P115" s="37" t="str">
        <f>IF(Y115&lt;&gt;"x","",j_opn&amp;label_deepfake_id&amp;j_sep&amp;   A115 &amp; j_nxt &amp;  "type" &amp; j_sep &amp; label_meat &amp; j_nxt&amp; "channel" &amp;j_sep&amp;Z115&amp;j_nxt&amp;label_text&amp;j_sep&amp;AF115&amp;j_nxt&amp;label_gpt_emo&amp;j_sep&amp;BD115&amp;j_nxt&amp;label_gpt_tone&amp;j_sep&amp;BE115&amp;j_nxt&amp;label_animate&amp;j_sub_opn&amp; label_pre &amp;j_sep &amp; IF(do_anim="","",BG115) &amp;j_nxt&amp;label_post&amp;j_sep&amp;  IF(do_anim="","",BH115) &amp;j_nxt &amp; label_next_state &amp; j_sep&amp;BI115&amp;J_sub_cls&amp;label_emotion&amp;j_sub_opn&amp;label_sad&amp;J_sep_num&amp;BS115&amp;j_nxt_num&amp;label_joy&amp;J_sep_num&amp;BT115&amp;j_nxt_num&amp;label_fear&amp;J_sep_num&amp;BU115&amp;j_nxt_num&amp;label_disgust&amp;J_sep_num&amp;BV115&amp;j_nxt_num&amp;label_anger&amp;J_sep_num&amp;BW115&amp;j_sub_cls_num&amp;label_sg&amp;j_sub_opn&amp;label_mood&amp;j_sep&amp;BY115&amp;j_nxt&amp;label_scale&amp;J_sep_num&amp;BZ115&amp;j_end_num)</f>
        <v>{"id":"111","type":"meat","channel":"play","text":"How wonderful is this?","gpt_emotion":"","gpt_tone":"","animate":{"pre":"","post":"","next_state":""},"emotion":{"sadness":-1,"joy":-1,"fear":-1,"disgust":-1,"anger":-1},"sgcom":{"mood":"","scale":-1}}</v>
      </c>
      <c r="Q115" s="37" t="str">
        <f t="shared" si="128"/>
        <v>{"id":"111","type":"meat","channel":"play","text":"How wonderful is this?","gpt_emotion":"","gpt_tone":"","animate":{"pre":"","post":"","next_state":""},"emotion":{"sadness":-1,"joy":-1,"fear":-1,"disgust":-1,"anger":-1},"sgcom":{"mood":"","scale":-1}}</v>
      </c>
      <c r="R115" s="141">
        <v>0</v>
      </c>
      <c r="S115" s="148">
        <f t="shared" si="115"/>
        <v>0</v>
      </c>
      <c r="T115" s="137">
        <f t="shared" si="129"/>
        <v>0</v>
      </c>
      <c r="U115" s="45"/>
      <c r="V115" s="35" t="str">
        <f>IF(OR(P115="",Y115=""),"",osc_exe_npmosc&amp;" --host "&amp;osc_ip&amp;":"&amp;osc_port_control&amp;" "&amp;osc_channel_meat_stub&amp; "  " &amp; j_qot &amp;X115 &amp; j_qot)</f>
        <v>/opt/homebrew/bin/osc --host 10.10.10.10:5918 /meat  "{#Qid#Q:#Q111#Q#C#Qtype#Q:#Qmeat#Q#C#Qchannel#Q:#Qplay#Q#C#Qtext#Q:#QHow#Swonderful#Sis#Sthis?#Q#C#Qgpt_emotion#Q:#Q#Q#C#Qgpt_tone#Q:#Q#Q#C#Qanimate#Q:{#Qpre#Q:#Q#Q#C#Qpost#Q:#Q#Q#C#Qnext_state#Q:#Q#Q}#C#Qemotion#Q:{#Qsadness#Q:-1#C#Qjoy#Q:-1#C#Qfear#Q:-1#C#Qdisgust#Q:-1#C#Qanger#Q:-1}#C#Qsgcom#Q:{#Qmood#Q:#Q#Q#C#Qscale#Q:-1}}"</v>
      </c>
      <c r="W115" s="36" t="str">
        <f t="shared" si="113"/>
        <v>/opt/homebrew/bin/sendosc 10.10.10.10 5918 play s {\"id\":\"111\",\"type\":\"meat\",\"channel\":\"play\",\"text\":\"How\ wonderful\ is\ this\?\",\"gpt_emotion\":\"\",\"gpt_tone\":\"\",\"animate\":{\"pre\":\"\",\"post\":\"\",\"next_state\":\"\"\},\"emotion\":{\"sadness\":-1,\"joy\":-1,\"fear\":-1,\"disgust\":-1,\"anger\":-1\},\"sgcom\":{\"mood\":\"\",\"scale\":-1\}\}</v>
      </c>
      <c r="X115" s="36" t="str">
        <f t="shared" si="114"/>
        <v>{#Qid#Q:#Q111#Q#C#Qtype#Q:#Qmeat#Q#C#Qchannel#Q:#Qplay#Q#C#Qtext#Q:#QHow#Swonderful#Sis#Sthis?#Q#C#Qgpt_emotion#Q:#Q#Q#C#Qgpt_tone#Q:#Q#Q#C#Qanimate#Q:{#Qpre#Q:#Q#Q#C#Qpost#Q:#Q#Q#C#Qnext_state#Q:#Q#Q}#C#Qemotion#Q:{#Qsadness#Q:-1#C#Qjoy#Q:-1#C#Qfear#Q:-1#C#Qdisgust#Q:-1#C#Qanger#Q:-1}#C#Qsgcom#Q:{#Qmood#Q:#Q#Q#C#Qscale#Q:-1}}</v>
      </c>
      <c r="Y115" s="34" t="s">
        <v>102</v>
      </c>
      <c r="Z115" s="36" t="str">
        <f t="shared" si="116"/>
        <v>play</v>
      </c>
      <c r="AA115" s="36"/>
      <c r="AB115" s="36" t="str" cm="1">
        <f t="array" ref="AB115">IF(C115="observe",channel_av_observe,"") &amp; IF(C115="register",channel_av_register,"")  &amp; IF(C115="listen",channel_av_listen,"")</f>
        <v/>
      </c>
      <c r="AC115" s="36" t="str">
        <f t="shared" si="130"/>
        <v/>
      </c>
      <c r="AD115" s="36" t="str">
        <f t="shared" si="131"/>
        <v/>
      </c>
      <c r="AE115" s="42" t="s">
        <v>103</v>
      </c>
      <c r="AF115" s="149" t="str">
        <f t="shared" si="132"/>
        <v>How wonderful is this?</v>
      </c>
      <c r="AG115" s="70"/>
      <c r="AH115" s="71"/>
      <c r="AI115" s="71"/>
      <c r="AJ115" s="71"/>
      <c r="AK115" s="56" t="str">
        <f t="shared" si="88"/>
        <v/>
      </c>
      <c r="AL115" s="70"/>
      <c r="AM115" s="133"/>
      <c r="AN115" s="70"/>
      <c r="AO115" s="70"/>
      <c r="AP115" s="70"/>
      <c r="AQ115" s="70"/>
      <c r="AR115" s="70"/>
      <c r="AS115" s="70"/>
      <c r="AT115" s="70"/>
      <c r="AU115" s="70"/>
      <c r="AV115" s="70"/>
      <c r="AW115" s="70"/>
      <c r="AX115" s="70"/>
      <c r="AY115" s="70"/>
      <c r="AZ115" s="70"/>
      <c r="BA115" s="70"/>
      <c r="BB115" s="70"/>
      <c r="BC115" s="72"/>
      <c r="BD115" s="42"/>
      <c r="BE115" s="42"/>
      <c r="BF115" s="72"/>
      <c r="BG115" s="108"/>
      <c r="BH115" s="108"/>
      <c r="BI115" s="108" t="s">
        <v>77</v>
      </c>
      <c r="BJ115" s="110"/>
      <c r="BK115" s="72"/>
      <c r="BL115" s="42"/>
      <c r="BM115" s="35">
        <v>0</v>
      </c>
      <c r="BN115" s="35">
        <v>0</v>
      </c>
      <c r="BO115" s="35">
        <v>0</v>
      </c>
      <c r="BP115" s="35">
        <v>0</v>
      </c>
      <c r="BQ115" s="35">
        <v>0</v>
      </c>
      <c r="BR115" s="72"/>
      <c r="BS115" s="35">
        <v>-1</v>
      </c>
      <c r="BT115" s="35">
        <v>-1</v>
      </c>
      <c r="BU115" s="35">
        <v>-1</v>
      </c>
      <c r="BV115" s="35">
        <v>-1</v>
      </c>
      <c r="BW115" s="35">
        <v>-1</v>
      </c>
      <c r="BX115" s="72"/>
      <c r="BY115" s="34"/>
      <c r="BZ115" s="43" t="s">
        <v>165</v>
      </c>
      <c r="CA115" s="43" t="s">
        <v>165</v>
      </c>
      <c r="CB115" s="158" t="str">
        <f t="shared" si="133"/>
        <v>{"azure":{"style":"","degree":0,"pause":0,"pitch":0,"rate":0,"volume":0},"emotion":{"sadness":-1,"joy":-1,"fear":-1,"disgust":-1,"anger":-1},"sgcom":{"mood":"","scale":-1}}</v>
      </c>
      <c r="AOE115" s="28"/>
    </row>
    <row r="116" spans="1:86 1071:1071" s="27" customFormat="1">
      <c r="A116" s="32">
        <f t="shared" si="108"/>
        <v>112</v>
      </c>
      <c r="B116" s="32"/>
      <c r="C116" s="32" t="s">
        <v>236</v>
      </c>
      <c r="D116" s="69" t="s">
        <v>257</v>
      </c>
      <c r="E116" s="34" t="s">
        <v>286</v>
      </c>
      <c r="F116" s="34" t="str">
        <f t="shared" si="111"/>
        <v/>
      </c>
      <c r="G116" s="34" t="str">
        <f t="shared" si="94"/>
        <v>mute</v>
      </c>
      <c r="H116" s="116" t="str">
        <f t="shared" si="134"/>
        <v>{"av-command": "stt-control", "data": {"listening": false}}</v>
      </c>
      <c r="I116" s="36" t="str">
        <f t="shared" si="101"/>
        <v>fakeplay</v>
      </c>
      <c r="J116" s="36" t="str">
        <f t="shared" si="135"/>
        <v>{"command" : "playfake","id":%id,"screens":[%screens]}</v>
      </c>
      <c r="K116" s="116" t="str">
        <f t="shared" si="102"/>
        <v>{"command" : "playfake","id":112,"screens":[1,2,3]}</v>
      </c>
      <c r="L116" s="36"/>
      <c r="M116" s="136" t="str">
        <f t="shared" si="109"/>
        <v/>
      </c>
      <c r="N116" s="116" t="str">
        <f t="shared" si="136"/>
        <v/>
      </c>
      <c r="O116" s="129" t="str">
        <f t="shared" si="112"/>
        <v/>
      </c>
      <c r="P116" s="83" t="str">
        <f>"{""id"":" &amp; A116 &amp; ", ""screens"":[" &amp; D116 &amp; "]}"</f>
        <v>{"id":112, "screens":[1,2,3]}</v>
      </c>
      <c r="Q116" s="37" t="str">
        <f t="shared" si="128"/>
        <v>{"id":112, "screens":[1,2,3]}</v>
      </c>
      <c r="R116" s="141"/>
      <c r="S116" s="148" t="str">
        <f t="shared" si="115"/>
        <v>clone_spoke</v>
      </c>
      <c r="T116" s="137" t="str">
        <f t="shared" si="129"/>
        <v>{"words-in" : { "entity" : "deepfake"} }</v>
      </c>
      <c r="U116" s="45"/>
      <c r="V116" s="35" t="str">
        <f>osc_exe_npmosc&amp;" --host "&amp;osc_ip&amp;":"&amp;osc_port_control&amp;" "&amp;osc_channel_play_audio&amp;" "&amp;AL116</f>
        <v>/opt/homebrew/bin/osc --host 10.10.10.10:5918 /play/audio 112_how_wonderful.wav</v>
      </c>
      <c r="W116" s="36" t="str">
        <f t="shared" si="113"/>
        <v/>
      </c>
      <c r="X116" s="36" t="str">
        <f t="shared" si="114"/>
        <v/>
      </c>
      <c r="Y116" s="34"/>
      <c r="Z116" s="36" t="str">
        <f t="shared" si="116"/>
        <v/>
      </c>
      <c r="AA116" s="36"/>
      <c r="AB116" s="36" t="str" cm="1">
        <f t="array" ref="AB116">IF(C116="observe",channel_av_observe,"") &amp; IF(C116="register",channel_av_register,"")  &amp; IF(C116="listen",channel_av_listen,"")</f>
        <v/>
      </c>
      <c r="AC116" s="36" t="str">
        <f t="shared" si="130"/>
        <v>/screen</v>
      </c>
      <c r="AD116" s="36" t="str">
        <f t="shared" si="131"/>
        <v/>
      </c>
      <c r="AE116" s="42"/>
      <c r="AF116" s="149" t="str">
        <f t="shared" si="132"/>
        <v>How wonderful is this?</v>
      </c>
      <c r="AG116" s="70"/>
      <c r="AH116" s="71"/>
      <c r="AI116" s="71"/>
      <c r="AJ116" s="71"/>
      <c r="AK116" s="56" t="str">
        <f t="shared" si="88"/>
        <v/>
      </c>
      <c r="AL116" s="70" t="str">
        <f>AL79</f>
        <v>112_how_wonderful.wav</v>
      </c>
      <c r="AM116" s="133"/>
      <c r="AN116" s="70"/>
      <c r="AO116" s="70"/>
      <c r="AP116" s="70"/>
      <c r="AQ116" s="70"/>
      <c r="AR116" s="70"/>
      <c r="AS116" s="70"/>
      <c r="AT116" s="70"/>
      <c r="AU116" s="70"/>
      <c r="AV116" s="70"/>
      <c r="AW116" s="70"/>
      <c r="AX116" s="70"/>
      <c r="AY116" s="70"/>
      <c r="AZ116" s="70"/>
      <c r="BA116" s="70"/>
      <c r="BB116" s="70"/>
      <c r="BC116" s="72"/>
      <c r="BD116" s="42"/>
      <c r="BE116" s="35"/>
      <c r="BF116" s="72"/>
      <c r="BG116" s="108"/>
      <c r="BH116" s="108"/>
      <c r="BI116" s="108" t="s">
        <v>77</v>
      </c>
      <c r="BJ116" s="110"/>
      <c r="BK116" s="72"/>
      <c r="BL116" s="70"/>
      <c r="BM116" s="35"/>
      <c r="BN116" s="35"/>
      <c r="BO116" s="35"/>
      <c r="BP116" s="35"/>
      <c r="BQ116" s="35"/>
      <c r="BR116" s="72"/>
      <c r="BS116" s="35"/>
      <c r="BT116" s="35"/>
      <c r="BU116" s="35"/>
      <c r="BV116" s="35"/>
      <c r="BW116" s="35"/>
      <c r="BX116" s="72"/>
      <c r="BY116" s="34"/>
      <c r="BZ116" s="35"/>
      <c r="CA116" s="35"/>
      <c r="CB116" s="158" t="str">
        <f t="shared" si="133"/>
        <v/>
      </c>
      <c r="AOE116" s="28"/>
    </row>
    <row r="117" spans="1:86 1071:1071" s="27" customFormat="1">
      <c r="A117" s="32">
        <f t="shared" si="108"/>
        <v>113</v>
      </c>
      <c r="B117" s="32"/>
      <c r="C117" s="32" t="s">
        <v>100</v>
      </c>
      <c r="D117" s="32"/>
      <c r="E117" s="34" t="s">
        <v>101</v>
      </c>
      <c r="F117" s="34" t="str">
        <f t="shared" si="111"/>
        <v/>
      </c>
      <c r="G117" s="34" t="str">
        <f t="shared" si="94"/>
        <v>mute</v>
      </c>
      <c r="H117" s="116" t="str">
        <f t="shared" si="134"/>
        <v>{"av-command": "stt-control", "data": {"listening": false}}</v>
      </c>
      <c r="I117" s="36" t="str">
        <f t="shared" si="101"/>
        <v/>
      </c>
      <c r="J117" s="36" t="str">
        <f t="shared" si="135"/>
        <v/>
      </c>
      <c r="K117" s="116" t="str">
        <f t="shared" si="102"/>
        <v/>
      </c>
      <c r="L117" s="36"/>
      <c r="M117" s="136" t="str">
        <f t="shared" si="109"/>
        <v>speak</v>
      </c>
      <c r="N117" s="116" t="str">
        <f t="shared" si="136"/>
        <v>{ "command": "speak", "entity": "Eliza", "data" : { "text" : "%text"}}</v>
      </c>
      <c r="O117" s="129" t="str">
        <f t="shared" si="112"/>
        <v>{ "command": "speak", "entity": "Eliza", "data" : { "text" : "Is it not?"}}</v>
      </c>
      <c r="P117" s="37" t="str">
        <f>IF(Y117&lt;&gt;"x","",j_opn&amp;"id"&amp;j_sep&amp;A117 &amp; j_nxt&amp;label_deepfake_name &amp; j_sep &amp; AH117 &amp; j_nxt&amp; "type" &amp; j_sep &amp; label_meat &amp; j_nxt&amp; "channel" &amp;j_sep&amp;Z117&amp;j_nxt&amp;label_role&amp;j_sep&amp;AE117&amp;j_nxt&amp;label_text&amp;j_sep&amp;AF117&amp;j_nxt&amp;label_gpt_emo&amp;j_sep&amp;BD117&amp;j_nxt&amp;label_gpt_tone&amp;j_sep&amp;BE117&amp;j_nxt&amp;label_animate&amp;j_sub_opn&amp;label_pre&amp;j_sep&amp;IF(do_anim=FALSE,"",BG117)&amp;j_nxt&amp;label_post&amp;j_sep&amp;IF(do_anim="","",BH117)&amp;j_nxt&amp;label_next_state&amp;j_sep&amp;BI117&amp;J_sub_cls&amp;label_azure&amp;j_sub_opn&amp;label_style&amp;j_sep&amp;BL117&amp;j_nxt&amp;label_degree&amp;J_sep_num&amp;BM117&amp;j_nxt_num&amp;label_pause&amp;J_sep_num&amp;BN117&amp;j_nxt_num&amp;label_pitch&amp;J_sep_num&amp;BO117&amp;j_nxt_num&amp;label_rate&amp;J_sep_num&amp;BP117&amp;j_nxt_num&amp;label_volume&amp;J_sep_num&amp;BQ117&amp;j_sub_cls_num&amp;label_emotion&amp;j_sub_opn&amp;label_sad&amp;J_sep_num&amp;BS117&amp;j_nxt_num&amp;label_joy&amp;J_sep_num&amp;BT117&amp;j_nxt_num&amp;label_fear&amp;J_sep_num&amp;BU117&amp;j_nxt_num&amp;label_disgust&amp;J_sep_num&amp;BV117&amp;j_nxt_num&amp;label_anger&amp;J_sep_num&amp;BW117&amp;j_sub_cls_num&amp;label_sg&amp;j_sub_opn&amp;label_mood&amp;j_sep&amp;BY117&amp;j_nxt&amp;label_scale&amp;J_sep_num&amp;BZ117&amp;j_end_num)</f>
        <v>{"id":"113","name":"is_it_not","type":"meat","channel":"say","role":"mask","text":"Is it not?","gpt_emotion":"","gpt_tone":"","animate":{"pre":"","post":"","next_state":""},"azure":{"style":"","degree":0,"pause":0,"pitch":0,"rate":0,"volume":0},"emotion":{"sadness":-1,"joy":-1,"fear":-1,"disgust":-1,"anger":-1},"sgcom":{"mood":"","scale":-1}}</v>
      </c>
      <c r="Q117" s="37" t="str">
        <f t="shared" si="128"/>
        <v>{"id":"113","name":"is_it_not","type":"meat","channel":"say","role":"mask","text":"Is it not?","gpt_emotion":"","gpt_tone":"","animate":{"pre":"","post":"","next_state":""},"azure":{"style":"","degree":0,"pause":0,"pitch":0,"rate":0,"volume":0},"emotion":{"sadness":-1,"joy":-1,"fear":-1,"disgust":-1,"anger":-1},"sgcom":{"mood":"","scale":-1}}</v>
      </c>
      <c r="R117" s="141"/>
      <c r="S117" s="148" t="str">
        <f t="shared" si="115"/>
        <v>mask_spoke</v>
      </c>
      <c r="T117" s="137" t="str">
        <f t="shared" si="129"/>
        <v>{"words-in" : { "entity" : "Eliza"} }</v>
      </c>
      <c r="U117" s="45"/>
      <c r="V117" s="35" t="str">
        <f>IF(OR(P117="",Y117=""),"",osc_exe_npmosc&amp;" --host "&amp;osc_ip&amp;":"&amp;osc_port_control&amp;" "&amp; osc_channel_meat_stub &amp; "  " &amp; j_qot &amp;X117 &amp; j_qot)</f>
        <v>/opt/homebrew/bin/osc --host 10.10.10.10:5918 /meat  "{#Qid#Q:#Q113#Q#C#Qname#Q:#Qis_it_not#Q#C#Qtype#Q:#Qmeat#Q#C#Qchannel#Q:#Qsay#Q#C#Qrole#Q:#Qmask#Q#C#Qtext#Q:#QIs#Sit#Snot?#Q#C#Qgpt_emotion#Q:#Q#Q#C#Qgpt_tone#Q:#Q#Q#C#Qanimate#Q:{#Qpre#Q:#Q#Q#C#Qpost#Q:#Q#Q#C#Qnext_state#Q:#Q#Q}#C#Qazure#Q:{#Qstyle#Q:#Q#Q#C#Qdegree#Q:0#C#Qpause#Q:0#C#Qpitch#Q:0#C#Qrate#Q:0#C#Qvolume#Q:0}#C#Qemotion#Q:{#Qsadness#Q:-1#C#Qjoy#Q:-1#C#Qfear#Q:-1#C#Qdisgust#Q:-1#C#Qanger#Q:-1}#C#Qsgcom#Q:{#Qmood#Q:#Q#Q#C#Qscale#Q:-1}}"</v>
      </c>
      <c r="W117" s="36" t="str">
        <f t="shared" si="113"/>
        <v>/opt/homebrew/bin/sendosc 10.10.10.10 5918 say s {\"id\":\"113\",\"name\":\"is_it_not\",\"type\":\"meat\",\"channel\":\"say\",\"role\":\"mask\",\"text\":\"Is\ it\ not\?\",\"gpt_emotion\":\"\",\"gpt_tone\":\"\",\"animate\":{\"pre\":\"\",\"post\":\"\",\"next_state\":\"\"\},\"azure\":{\"style\":\"\",\"degree\":0,\"pause\":0,\"pitch\":0,\"rate\":0,\"volume\":0\},\"emotion\":{\"sadness\":-1,\"joy\":-1,\"fear\":-1,\"disgust\":-1,\"anger\":-1\},\"sgcom\":{\"mood\":\"\",\"scale\":-1\}\}</v>
      </c>
      <c r="X117" s="36" t="str">
        <f t="shared" si="114"/>
        <v>{#Qid#Q:#Q113#Q#C#Qname#Q:#Qis_it_not#Q#C#Qtype#Q:#Qmeat#Q#C#Qchannel#Q:#Qsay#Q#C#Qrole#Q:#Qmask#Q#C#Qtext#Q:#QIs#Sit#Snot?#Q#C#Qgpt_emotion#Q:#Q#Q#C#Qgpt_tone#Q:#Q#Q#C#Qanimate#Q:{#Qpre#Q:#Q#Q#C#Qpost#Q:#Q#Q#C#Qnext_state#Q:#Q#Q}#C#Qazure#Q:{#Qstyle#Q:#Q#Q#C#Qdegree#Q:0#C#Qpause#Q:0#C#Qpitch#Q:0#C#Qrate#Q:0#C#Qvolume#Q:0}#C#Qemotion#Q:{#Qsadness#Q:-1#C#Qjoy#Q:-1#C#Qfear#Q:-1#C#Qdisgust#Q:-1#C#Qanger#Q:-1}#C#Qsgcom#Q:{#Qmood#Q:#Q#Q#C#Qscale#Q:-1}}</v>
      </c>
      <c r="Y117" s="40" t="s">
        <v>102</v>
      </c>
      <c r="Z117" s="36" t="str">
        <f t="shared" si="116"/>
        <v>say</v>
      </c>
      <c r="AA117" s="36"/>
      <c r="AB117" s="36" t="str" cm="1">
        <f t="array" ref="AB117">IF(C117="observe",channel_av_observe,"") &amp; IF(C117="register",channel_av_register,"")  &amp; IF(C117="listen",channel_av_listen,"")</f>
        <v/>
      </c>
      <c r="AC117" s="36" t="str">
        <f t="shared" si="130"/>
        <v/>
      </c>
      <c r="AD117" s="36" t="str">
        <f t="shared" si="131"/>
        <v/>
      </c>
      <c r="AE117" s="42" t="s">
        <v>103</v>
      </c>
      <c r="AF117" s="37" t="s">
        <v>287</v>
      </c>
      <c r="AG117" s="37"/>
      <c r="AH117" s="37" t="s">
        <v>288</v>
      </c>
      <c r="AI117" s="37"/>
      <c r="AJ117" s="114">
        <f>A117</f>
        <v>113</v>
      </c>
      <c r="AK117" s="56" t="str">
        <f t="shared" si="88"/>
        <v>113_is_it_not</v>
      </c>
      <c r="AL117" s="37"/>
      <c r="AM117" s="133"/>
      <c r="AN117" s="37"/>
      <c r="AO117" s="37"/>
      <c r="AP117" s="37"/>
      <c r="AQ117" s="37"/>
      <c r="AR117" s="37"/>
      <c r="AS117" s="37"/>
      <c r="AT117" s="37"/>
      <c r="AU117" s="37"/>
      <c r="AV117" s="37"/>
      <c r="AW117" s="37"/>
      <c r="AX117" s="37"/>
      <c r="AY117" s="37"/>
      <c r="AZ117" s="37"/>
      <c r="BA117" s="37"/>
      <c r="BB117" s="37"/>
      <c r="BC117" s="41"/>
      <c r="BD117" s="42"/>
      <c r="BE117" s="42"/>
      <c r="BF117" s="41"/>
      <c r="BG117" s="108"/>
      <c r="BH117" s="108"/>
      <c r="BI117" s="108" t="s">
        <v>77</v>
      </c>
      <c r="BJ117" s="110"/>
      <c r="BK117" s="41"/>
      <c r="BL117" s="42"/>
      <c r="BM117" s="35">
        <v>0</v>
      </c>
      <c r="BN117" s="35">
        <v>0</v>
      </c>
      <c r="BO117" s="35">
        <v>0</v>
      </c>
      <c r="BP117" s="35">
        <v>0</v>
      </c>
      <c r="BQ117" s="35">
        <v>0</v>
      </c>
      <c r="BR117" s="41"/>
      <c r="BS117" s="35">
        <v>-1</v>
      </c>
      <c r="BT117" s="35">
        <v>-1</v>
      </c>
      <c r="BU117" s="35">
        <v>-1</v>
      </c>
      <c r="BV117" s="35">
        <v>-1</v>
      </c>
      <c r="BW117" s="35">
        <v>-1</v>
      </c>
      <c r="BX117" s="41"/>
      <c r="BY117" s="34"/>
      <c r="BZ117" s="43" t="s">
        <v>165</v>
      </c>
      <c r="CA117" s="43" t="s">
        <v>165</v>
      </c>
      <c r="CB117" s="158" t="str">
        <f t="shared" si="133"/>
        <v>{"azure":{"style":"","degree":0,"pause":0,"pitch":0,"rate":0,"volume":0},"emotion":{"sadness":-1,"joy":-1,"fear":-1,"disgust":-1,"anger":-1},"sgcom":{"mood":"","scale":-1}}</v>
      </c>
      <c r="AOE117" s="28"/>
    </row>
    <row r="118" spans="1:86 1071:1071" s="27" customFormat="1">
      <c r="A118" s="32">
        <f t="shared" si="108"/>
        <v>114</v>
      </c>
      <c r="B118" s="32"/>
      <c r="C118" s="32" t="s">
        <v>109</v>
      </c>
      <c r="D118" s="32"/>
      <c r="E118" s="34" t="s">
        <v>110</v>
      </c>
      <c r="F118" s="34" t="str">
        <f t="shared" si="111"/>
        <v/>
      </c>
      <c r="G118" s="34" t="str">
        <f t="shared" si="94"/>
        <v>unmute</v>
      </c>
      <c r="H118" s="116" t="str">
        <f t="shared" si="134"/>
        <v>{"av-command": "stt-control", "data": {"listening": true}}</v>
      </c>
      <c r="I118" s="36" t="str">
        <f t="shared" si="101"/>
        <v/>
      </c>
      <c r="J118" s="36" t="str">
        <f t="shared" si="135"/>
        <v/>
      </c>
      <c r="K118" s="116" t="str">
        <f t="shared" si="102"/>
        <v/>
      </c>
      <c r="L118" s="36"/>
      <c r="M118" s="136" t="str">
        <f t="shared" si="109"/>
        <v>mute</v>
      </c>
      <c r="N118" s="116" t="str">
        <f t="shared" si="136"/>
        <v>{ "command": "mute", "entity": "Eliza", "data" : null}</v>
      </c>
      <c r="O118" s="129" t="str">
        <f t="shared" si="112"/>
        <v>{ "command": "mute", "entity": "Eliza", "data" : null}</v>
      </c>
      <c r="P118" s="81"/>
      <c r="Q118" s="37"/>
      <c r="R118" s="141"/>
      <c r="S118" s="148" t="str">
        <f t="shared" si="115"/>
        <v>user_spoke</v>
      </c>
      <c r="T118" s="137" t="str">
        <f t="shared" si="129"/>
        <v>{"words-in" : { "entity" : "user"} }</v>
      </c>
      <c r="U118" s="45"/>
      <c r="V118" s="35" t="str">
        <f>IF(OR(P118="",Y118=""),"",osc_exe_npmosc&amp;" --host "&amp;osc_ip&amp;":"&amp;osc_port_control&amp;" "&amp;Z118&amp; "  " &amp; j_qot &amp;X118 &amp; j_qot)</f>
        <v/>
      </c>
      <c r="W118" s="36" t="str">
        <f t="shared" si="113"/>
        <v/>
      </c>
      <c r="X118" s="36" t="str">
        <f t="shared" si="114"/>
        <v/>
      </c>
      <c r="Y118" s="34"/>
      <c r="Z118" s="36" t="str">
        <f t="shared" si="116"/>
        <v/>
      </c>
      <c r="AA118" s="36"/>
      <c r="AB118" s="36" t="str" cm="1">
        <f t="array" ref="AB118">IF(C118="observe",channel_av_observe,"") &amp; IF(C118="register",channel_av_register,"")  &amp; IF(C118="listen",channel_av_listen,"")</f>
        <v>/listen</v>
      </c>
      <c r="AC118" s="36" t="str">
        <f t="shared" si="130"/>
        <v/>
      </c>
      <c r="AD118" s="36" t="str">
        <f t="shared" si="131"/>
        <v/>
      </c>
      <c r="AE118" s="42"/>
      <c r="AF118" s="46" t="s">
        <v>289</v>
      </c>
      <c r="AG118" s="46"/>
      <c r="AH118" s="47"/>
      <c r="AI118" s="47"/>
      <c r="AJ118" s="47"/>
      <c r="AK118" s="56" t="str">
        <f t="shared" si="88"/>
        <v/>
      </c>
      <c r="AL118" s="47"/>
      <c r="AM118" s="133"/>
      <c r="AN118" s="47"/>
      <c r="AO118" s="47"/>
      <c r="AP118" s="47"/>
      <c r="AQ118" s="47"/>
      <c r="AR118" s="47"/>
      <c r="AS118" s="47"/>
      <c r="AT118" s="47"/>
      <c r="AU118" s="47"/>
      <c r="AV118" s="47"/>
      <c r="AW118" s="47"/>
      <c r="AX118" s="47"/>
      <c r="AY118" s="47"/>
      <c r="AZ118" s="47"/>
      <c r="BA118" s="47"/>
      <c r="BB118" s="47"/>
      <c r="BC118" s="48"/>
      <c r="BD118" s="42"/>
      <c r="BE118" s="35"/>
      <c r="BF118" s="48"/>
      <c r="BG118" s="108"/>
      <c r="BH118" s="108"/>
      <c r="BI118" s="108" t="s">
        <v>77</v>
      </c>
      <c r="BJ118" s="110"/>
      <c r="BK118" s="48"/>
      <c r="BL118" s="47"/>
      <c r="BM118" s="35"/>
      <c r="BN118" s="35"/>
      <c r="BO118" s="35"/>
      <c r="BP118" s="35"/>
      <c r="BQ118" s="35"/>
      <c r="BR118" s="48"/>
      <c r="BS118" s="35"/>
      <c r="BT118" s="35"/>
      <c r="BU118" s="35"/>
      <c r="BV118" s="35"/>
      <c r="BW118" s="35"/>
      <c r="BX118" s="48"/>
      <c r="BY118" s="34"/>
      <c r="BZ118" s="43"/>
      <c r="CA118" s="43"/>
      <c r="CB118" s="158" t="str">
        <f t="shared" si="133"/>
        <v/>
      </c>
      <c r="AOE118" s="28"/>
    </row>
    <row r="119" spans="1:86 1071:1071" s="27" customFormat="1">
      <c r="A119" s="32">
        <f t="shared" si="108"/>
        <v>115</v>
      </c>
      <c r="B119" s="32"/>
      <c r="C119" s="32" t="s">
        <v>100</v>
      </c>
      <c r="D119" s="32"/>
      <c r="E119" s="34" t="s">
        <v>101</v>
      </c>
      <c r="F119" s="34" t="str">
        <f t="shared" si="111"/>
        <v/>
      </c>
      <c r="G119" s="34" t="str">
        <f t="shared" si="94"/>
        <v>mute</v>
      </c>
      <c r="H119" s="116" t="str">
        <f t="shared" si="134"/>
        <v>{"av-command": "stt-control", "data": {"listening": false}}</v>
      </c>
      <c r="I119" s="36" t="str">
        <f t="shared" si="101"/>
        <v/>
      </c>
      <c r="J119" s="36" t="str">
        <f t="shared" si="135"/>
        <v/>
      </c>
      <c r="K119" s="116" t="str">
        <f t="shared" si="102"/>
        <v/>
      </c>
      <c r="L119" s="36"/>
      <c r="M119" s="136" t="str">
        <f t="shared" si="109"/>
        <v>speak</v>
      </c>
      <c r="N119" s="116" t="str">
        <f t="shared" si="136"/>
        <v>{ "command": "speak", "entity": "Eliza", "data" : { "text" : "%text"}}</v>
      </c>
      <c r="O119" s="129" t="str">
        <f t="shared" si="112"/>
        <v>{ "command": "speak", "entity": "Eliza", "data" : { "text" : "You can [prosody pitch=5 rate=-5]go [/prosody][prosody pitch=-30]now [/prosody]."}}</v>
      </c>
      <c r="P119" s="37" t="str">
        <f>IF(Y119&lt;&gt;"x","",j_opn&amp;"id"&amp;j_sep&amp;A119 &amp; j_nxt&amp;label_deepfake_name &amp; j_sep &amp; AH119 &amp; j_nxt&amp; "type" &amp; j_sep &amp; "meat" &amp; j_nxt&amp; "channel" &amp;j_sep&amp;Z119&amp;j_nxt&amp;label_role&amp;j_sep&amp;AE119&amp;j_nxt&amp;label_text&amp;j_sep&amp;AF119&amp;j_nxt&amp;label_gpt_emo&amp;j_sep&amp;BD119&amp;j_nxt&amp;label_gpt_tone&amp;j_sep&amp;BE119&amp;j_nxt&amp;label_animate&amp;j_sub_opn&amp;label_pre&amp;j_sep&amp;IF(do_anim=FALSE,"",BG119)&amp;j_nxt&amp;label_post&amp;j_sep&amp;IF(do_anim="","",BH119)&amp;j_nxt&amp;label_next_state&amp;j_sep&amp;BI119&amp;J_sub_cls&amp;label_azure&amp;j_sub_opn&amp;label_style&amp;j_sep&amp;BL119&amp;j_nxt&amp;label_degree&amp;J_sep_num&amp;BM119&amp;j_nxt_num&amp;label_pause&amp;J_sep_num&amp;BN119&amp;j_nxt_num&amp;label_pitch&amp;J_sep_num&amp;BO119&amp;j_nxt_num&amp;label_rate&amp;J_sep_num&amp;BP119&amp;j_nxt_num&amp;label_volume&amp;J_sep_num&amp;BQ119&amp;j_sub_cls_num&amp;label_emotion&amp;j_sub_opn&amp;label_sad&amp;J_sep_num&amp;BS119&amp;j_nxt_num&amp;label_joy&amp;J_sep_num&amp;BT119&amp;j_nxt_num&amp;label_fear&amp;J_sep_num&amp;BU119&amp;j_nxt_num&amp;label_disgust&amp;J_sep_num&amp;BV119&amp;j_nxt_num&amp;label_anger&amp;J_sep_num&amp;BW119&amp;j_sub_cls_num&amp;label_sg&amp;j_sub_opn&amp;label_mood&amp;j_sep&amp;BY119&amp;j_nxt&amp;label_scale&amp;J_sep_num&amp;BZ119&amp;j_end_num)</f>
        <v>{"id":"115","name":"you_can_go","type":"meat","channel":"say","role":"mask","text":"You can [prosody pitch=5 rate=-5]go [/prosody][prosody pitch=-30]now [/prosody].","gpt_emotion":"","gpt_tone":"","animate":{"pre":"affectionate","post":"","next_state":""},"azure":{"style":"","degree":0,"pause":0,"pitch":0,"rate":-5,"volume":0},"emotion":{"sadness":-1,"joy":-1,"fear":-1,"disgust":-1,"anger":-1},"sgcom":{"mood":"","scale":-1}}</v>
      </c>
      <c r="Q119" s="37" t="str">
        <f>IF(AND(C119&lt;&gt;"speak_gpt",C119&lt;&gt;"faketomask"),P119,"") &amp; IF(C119="maketext",j_opn&amp;"id"&amp;j_sep&amp;A119 &amp; j_nxt &amp; "type" &amp; j_sep &amp; label_meat &amp; j_nxt&amp; "channel" &amp;j_sep  &amp; Z119&amp; j_nxt&amp; "state" &amp; j_sep &amp; "think" &amp; j_qot &amp; j_cls,"")</f>
        <v>{"id":"115","name":"you_can_go","type":"meat","channel":"say","role":"mask","text":"You can [prosody pitch=5 rate=-5]go [/prosody][prosody pitch=-30]now [/prosody].","gpt_emotion":"","gpt_tone":"","animate":{"pre":"affectionate","post":"","next_state":""},"azure":{"style":"","degree":0,"pause":0,"pitch":0,"rate":-5,"volume":0},"emotion":{"sadness":-1,"joy":-1,"fear":-1,"disgust":-1,"anger":-1},"sgcom":{"mood":"","scale":-1}}</v>
      </c>
      <c r="R119" s="141"/>
      <c r="S119" s="148" t="str">
        <f t="shared" si="115"/>
        <v>mask_spoke</v>
      </c>
      <c r="T119" s="137" t="str">
        <f t="shared" si="129"/>
        <v>{"words-in" : { "entity" : "Eliza"} }</v>
      </c>
      <c r="U119" s="45"/>
      <c r="V119" s="35" t="str">
        <f>IF(OR(P119="",Y119=""),"",osc_exe_npmosc&amp;" --host "&amp;osc_ip&amp;":"&amp;osc_port_control&amp;" "&amp; osc_channel_meat_stub &amp; "  " &amp; j_qot &amp;X119 &amp; j_qot)</f>
        <v>/opt/homebrew/bin/osc --host 10.10.10.10:5918 /meat  "{#Qid#Q:#Q115#Q#C#Qname#Q:#Qyou_can_go#Q#C#Qtype#Q:#Qmeat#Q#C#Qchannel#Q:#Qsay#Q#C#Qrole#Q:#Qmask#Q#C#Qtext#Q:#QYou#Scan#S[prosody#Spitch=5#Srate=-5]go#S[/prosody][prosody#Spitch=-30]now#S[/prosody].#Q#C#Qgpt_emotion#Q:#Q#Q#C#Qgpt_tone#Q:#Q#Q#C#Qanimate#Q:{#Qpre#Q:#Qaffectionate#Q#C#Qpost#Q:#Q#Q#C#Qnext_state#Q:#Q#Q}#C#Qazure#Q:{#Qstyle#Q:#Q#Q#C#Qdegree#Q:0#C#Qpause#Q:0#C#Qpitch#Q:0#C#Qrate#Q:-5#C#Qvolume#Q:0}#C#Qemotion#Q:{#Qsadness#Q:-1#C#Qjoy#Q:-1#C#Qfear#Q:-1#C#Qdisgust#Q:-1#C#Qanger#Q:-1}#C#Qsgcom#Q:{#Qmood#Q:#Q#Q#C#Qscale#Q:-1}}"</v>
      </c>
      <c r="W119" s="36" t="str">
        <f t="shared" si="113"/>
        <v>/opt/homebrew/bin/sendosc 10.10.10.10 5918 say s {\"id\":\"115\",\"name\":\"you_can_go\",\"type\":\"meat\",\"channel\":\"say\",\"role\":\"mask\",\"text\":\"You\ can\ [prosody\ pitch=5\ rate=-5]go\ [/prosody][prosody\ pitch=-30]now\ [/prosody].\",\"gpt_emotion\":\"\",\"gpt_tone\":\"\",\"animate\":{\"pre\":\"affectionate\",\"post\":\"\",\"next_state\":\"\"\},\"azure\":{\"style\":\"\",\"degree\":0,\"pause\":0,\"pitch\":0,\"rate\":-5,\"volume\":0\},\"emotion\":{\"sadness\":-1,\"joy\":-1,\"fear\":-1,\"disgust\":-1,\"anger\":-1\},\"sgcom\":{\"mood\":\"\",\"scale\":-1\}\}</v>
      </c>
      <c r="X119" s="36" t="str">
        <f t="shared" si="114"/>
        <v>{#Qid#Q:#Q115#Q#C#Qname#Q:#Qyou_can_go#Q#C#Qtype#Q:#Qmeat#Q#C#Qchannel#Q:#Qsay#Q#C#Qrole#Q:#Qmask#Q#C#Qtext#Q:#QYou#Scan#S[prosody#Spitch=5#Srate=-5]go#S[/prosody][prosody#Spitch=-30]now#S[/prosody].#Q#C#Qgpt_emotion#Q:#Q#Q#C#Qgpt_tone#Q:#Q#Q#C#Qanimate#Q:{#Qpre#Q:#Qaffectionate#Q#C#Qpost#Q:#Q#Q#C#Qnext_state#Q:#Q#Q}#C#Qazure#Q:{#Qstyle#Q:#Q#Q#C#Qdegree#Q:0#C#Qpause#Q:0#C#Qpitch#Q:0#C#Qrate#Q:-5#C#Qvolume#Q:0}#C#Qemotion#Q:{#Qsadness#Q:-1#C#Qjoy#Q:-1#C#Qfear#Q:-1#C#Qdisgust#Q:-1#C#Qanger#Q:-1}#C#Qsgcom#Q:{#Qmood#Q:#Q#Q#C#Qscale#Q:-1}}</v>
      </c>
      <c r="Y119" s="40" t="s">
        <v>102</v>
      </c>
      <c r="Z119" s="36" t="str">
        <f t="shared" si="116"/>
        <v>say</v>
      </c>
      <c r="AA119" s="36"/>
      <c r="AB119" s="36" t="str" cm="1">
        <f t="array" ref="AB119">IF(C119="observe",channel_av_observe,"") &amp; IF(C119="register",channel_av_register,"")  &amp; IF(C119="listen",channel_av_listen,"")</f>
        <v/>
      </c>
      <c r="AC119" s="36" t="str">
        <f t="shared" si="130"/>
        <v/>
      </c>
      <c r="AD119" s="36" t="str">
        <f t="shared" si="131"/>
        <v/>
      </c>
      <c r="AE119" s="42" t="s">
        <v>103</v>
      </c>
      <c r="AF119" s="37" t="s">
        <v>290</v>
      </c>
      <c r="AG119" s="37"/>
      <c r="AH119" s="37" t="s">
        <v>291</v>
      </c>
      <c r="AI119" s="37"/>
      <c r="AJ119" s="114">
        <f>A119</f>
        <v>115</v>
      </c>
      <c r="AK119" s="56" t="str">
        <f t="shared" si="88"/>
        <v>115_you_can_go</v>
      </c>
      <c r="AL119" s="37"/>
      <c r="AM119" s="133"/>
      <c r="AN119" s="37"/>
      <c r="AO119" s="37"/>
      <c r="AP119" s="37"/>
      <c r="AQ119" s="37"/>
      <c r="AR119" s="37"/>
      <c r="AS119" s="37"/>
      <c r="AT119" s="37"/>
      <c r="AU119" s="37"/>
      <c r="AV119" s="37"/>
      <c r="AW119" s="37"/>
      <c r="AX119" s="37"/>
      <c r="AY119" s="37"/>
      <c r="AZ119" s="37"/>
      <c r="BA119" s="37"/>
      <c r="BB119" s="37"/>
      <c r="BC119" s="41"/>
      <c r="BD119" s="42"/>
      <c r="BE119" s="42"/>
      <c r="BF119" s="41"/>
      <c r="BG119" s="104" t="s">
        <v>292</v>
      </c>
      <c r="BH119" s="108"/>
      <c r="BI119" s="108" t="s">
        <v>77</v>
      </c>
      <c r="BJ119" s="110"/>
      <c r="BK119" s="41"/>
      <c r="BL119" s="42"/>
      <c r="BM119" s="35">
        <v>0</v>
      </c>
      <c r="BN119" s="35">
        <v>0</v>
      </c>
      <c r="BO119" s="35">
        <v>0</v>
      </c>
      <c r="BP119" s="35">
        <v>-5</v>
      </c>
      <c r="BQ119" s="35">
        <v>0</v>
      </c>
      <c r="BR119" s="41"/>
      <c r="BS119" s="35">
        <v>-1</v>
      </c>
      <c r="BT119" s="35">
        <v>-1</v>
      </c>
      <c r="BU119" s="35">
        <v>-1</v>
      </c>
      <c r="BV119" s="35">
        <v>-1</v>
      </c>
      <c r="BW119" s="35">
        <v>-1</v>
      </c>
      <c r="BX119" s="41"/>
      <c r="BY119" s="34"/>
      <c r="BZ119" s="43" t="s">
        <v>165</v>
      </c>
      <c r="CA119" s="43" t="s">
        <v>165</v>
      </c>
      <c r="CB119" s="158" t="str">
        <f t="shared" si="133"/>
        <v>{"azure":{"style":"","degree":0,"pause":0,"pitch":0,"rate":-5,"volume":0},"emotion":{"sadness":-1,"joy":-1,"fear":-1,"disgust":-1,"anger":-1},"sgcom":{"mood":"","scale":-1}}</v>
      </c>
      <c r="AOE119" s="28"/>
    </row>
    <row r="120" spans="1:86 1071:1071" s="27" customFormat="1">
      <c r="A120" s="32">
        <f t="shared" si="108"/>
        <v>116</v>
      </c>
      <c r="B120" s="32"/>
      <c r="C120" s="32" t="s">
        <v>100</v>
      </c>
      <c r="D120" s="32"/>
      <c r="E120" s="34" t="s">
        <v>101</v>
      </c>
      <c r="F120" s="34" t="str">
        <f t="shared" si="111"/>
        <v/>
      </c>
      <c r="G120" s="34" t="str">
        <f t="shared" si="94"/>
        <v>mute</v>
      </c>
      <c r="H120" s="116" t="str">
        <f t="shared" si="134"/>
        <v>{"av-command": "stt-control", "data": {"listening": false}}</v>
      </c>
      <c r="I120" s="36" t="str">
        <f t="shared" si="101"/>
        <v/>
      </c>
      <c r="J120" s="36" t="str">
        <f t="shared" si="135"/>
        <v/>
      </c>
      <c r="K120" s="116" t="str">
        <f t="shared" si="102"/>
        <v/>
      </c>
      <c r="L120" s="36"/>
      <c r="M120" s="136" t="str">
        <f t="shared" si="109"/>
        <v>speak</v>
      </c>
      <c r="N120" s="116" t="str">
        <f t="shared" si="136"/>
        <v>{ "command": "speak", "entity": "Eliza", "data" : { "text" : "%text"}}</v>
      </c>
      <c r="O120" s="129" t="str">
        <f t="shared" si="112"/>
        <v>{ "command": "speak", "entity": "Eliza", "data" : { "text" : "Goodbye."}}</v>
      </c>
      <c r="P120" s="37" t="str">
        <f>IF(Y120&lt;&gt;"x","",j_opn&amp;"id"&amp;j_sep&amp;A120 &amp; j_nxt&amp;label_deepfake_name &amp; j_sep &amp; AH120 &amp; j_nxt&amp; "type" &amp; j_sep &amp; label_meat &amp; j_nxt&amp; "channel" &amp;j_sep&amp;Z120&amp;j_nxt&amp;label_role&amp;j_sep&amp;AE120&amp;j_nxt&amp;label_text&amp;j_sep&amp;AF120&amp;j_nxt&amp;label_gpt_emo&amp;j_sep&amp;BD120&amp;j_nxt&amp;label_gpt_tone&amp;j_sep&amp;BE120&amp;j_nxt&amp;label_animate&amp;j_sub_opn&amp;label_pre&amp;j_sep&amp;IF(do_anim=FALSE,"",BG120)&amp;j_nxt&amp;label_post&amp;j_sep&amp;IF(do_anim="","",BH120)&amp;j_nxt&amp;label_next_state&amp;j_sep&amp;BI120&amp;J_sub_cls&amp;label_azure&amp;j_sub_opn&amp;label_style&amp;j_sep&amp;BL120&amp;j_nxt&amp;label_degree&amp;J_sep_num&amp;BM120&amp;j_nxt_num&amp;label_pause&amp;J_sep_num&amp;BN120&amp;j_nxt_num&amp;label_pitch&amp;J_sep_num&amp;BO120&amp;j_nxt_num&amp;label_rate&amp;J_sep_num&amp;BP120&amp;j_nxt_num&amp;label_volume&amp;J_sep_num&amp;BQ120&amp;j_sub_cls_num&amp;label_emotion&amp;j_sub_opn&amp;label_sad&amp;J_sep_num&amp;BS120&amp;j_nxt_num&amp;label_joy&amp;J_sep_num&amp;BT120&amp;j_nxt_num&amp;label_fear&amp;J_sep_num&amp;BU120&amp;j_nxt_num&amp;label_disgust&amp;J_sep_num&amp;BV120&amp;j_nxt_num&amp;label_anger&amp;J_sep_num&amp;BW120&amp;j_sub_cls_num&amp;label_sg&amp;j_sub_opn&amp;label_mood&amp;j_sep&amp;BY120&amp;j_nxt&amp;label_scale&amp;J_sep_num&amp;BZ120&amp;j_end_num)</f>
        <v>{"id":"116","name":"bye","type":"meat","channel":"say","role":"mask","text":"Goodbye.","gpt_emotion":"","gpt_tone":"","animate":{"pre":"","post":"","next_state":""},"azure":{"style":"Whispering","degree":1,"pause":0,"pitch":0,"rate":-5,"volume":0},"emotion":{"sadness":-1,"joy":-1,"fear":-1,"disgust":-1,"anger":-1},"sgcom":{"mood":"","scale":-1}}</v>
      </c>
      <c r="Q120" s="37" t="str">
        <f>IF(AND(C120&lt;&gt;"speak_gpt",C120&lt;&gt;"faketomask"),P120,"") &amp; IF(C120="maketext",j_opn&amp;"id"&amp;j_sep&amp;A120 &amp; j_nxt &amp; "type" &amp; j_sep &amp; label_meat &amp; j_nxt&amp; "channel" &amp;j_sep  &amp; Z120&amp; j_nxt&amp; "state" &amp; j_sep &amp; "think" &amp; j_qot &amp; j_cls,"")</f>
        <v>{"id":"116","name":"bye","type":"meat","channel":"say","role":"mask","text":"Goodbye.","gpt_emotion":"","gpt_tone":"","animate":{"pre":"","post":"","next_state":""},"azure":{"style":"Whispering","degree":1,"pause":0,"pitch":0,"rate":-5,"volume":0},"emotion":{"sadness":-1,"joy":-1,"fear":-1,"disgust":-1,"anger":-1},"sgcom":{"mood":"","scale":-1}}</v>
      </c>
      <c r="R120" s="141"/>
      <c r="S120" s="148" t="str">
        <f t="shared" si="115"/>
        <v>mask_spoke</v>
      </c>
      <c r="T120" s="137" t="str">
        <f t="shared" si="129"/>
        <v>{"words-in" : { "entity" : "Eliza"} }</v>
      </c>
      <c r="U120" s="45"/>
      <c r="V120" s="35" t="str">
        <f>IF(OR(P120="",Y120=""),"",osc_exe_npmosc&amp;" --host "&amp;osc_ip&amp;":"&amp;osc_port_control&amp;" "&amp; osc_channel_meat_stub &amp; "  " &amp; j_qot &amp;X120 &amp; j_qot)</f>
        <v>/opt/homebrew/bin/osc --host 10.10.10.10:5918 /meat  "{#Qid#Q:#Q116#Q#C#Qname#Q:#Qbye#Q#C#Qtype#Q:#Qmeat#Q#C#Qchannel#Q:#Qsay#Q#C#Qrole#Q:#Qmask#Q#C#Qtext#Q:#QGoodbye.#Q#C#Qgpt_emotion#Q:#Q#Q#C#Qgpt_tone#Q:#Q#Q#C#Qanimate#Q:{#Qpre#Q:#Q#Q#C#Qpost#Q:#Q#Q#C#Qnext_state#Q:#Q#Q}#C#Qazure#Q:{#Qstyle#Q:#QWhispering#Q#C#Qdegree#Q:1#C#Qpause#Q:0#C#Qpitch#Q:0#C#Qrate#Q:-5#C#Qvolume#Q:0}#C#Qemotion#Q:{#Qsadness#Q:-1#C#Qjoy#Q:-1#C#Qfear#Q:-1#C#Qdisgust#Q:-1#C#Qanger#Q:-1}#C#Qsgcom#Q:{#Qmood#Q:#Q#Q#C#Qscale#Q:-1}}"</v>
      </c>
      <c r="W120" s="36" t="str">
        <f t="shared" si="113"/>
        <v>/opt/homebrew/bin/sendosc 10.10.10.10 5918 say s {\"id\":\"116\",\"name\":\"bye\",\"type\":\"meat\",\"channel\":\"say\",\"role\":\"mask\",\"text\":\"Goodbye.\",\"gpt_emotion\":\"\",\"gpt_tone\":\"\",\"animate\":{\"pre\":\"\",\"post\":\"\",\"next_state\":\"\"\},\"azure\":{\"style\":\"Whispering\",\"degree\":1,\"pause\":0,\"pitch\":0,\"rate\":-5,\"volume\":0\},\"emotion\":{\"sadness\":-1,\"joy\":-1,\"fear\":-1,\"disgust\":-1,\"anger\":-1\},\"sgcom\":{\"mood\":\"\",\"scale\":-1\}\}</v>
      </c>
      <c r="X120" s="36" t="str">
        <f t="shared" si="114"/>
        <v>{#Qid#Q:#Q116#Q#C#Qname#Q:#Qbye#Q#C#Qtype#Q:#Qmeat#Q#C#Qchannel#Q:#Qsay#Q#C#Qrole#Q:#Qmask#Q#C#Qtext#Q:#QGoodbye.#Q#C#Qgpt_emotion#Q:#Q#Q#C#Qgpt_tone#Q:#Q#Q#C#Qanimate#Q:{#Qpre#Q:#Q#Q#C#Qpost#Q:#Q#Q#C#Qnext_state#Q:#Q#Q}#C#Qazure#Q:{#Qstyle#Q:#QWhispering#Q#C#Qdegree#Q:1#C#Qpause#Q:0#C#Qpitch#Q:0#C#Qrate#Q:-5#C#Qvolume#Q:0}#C#Qemotion#Q:{#Qsadness#Q:-1#C#Qjoy#Q:-1#C#Qfear#Q:-1#C#Qdisgust#Q:-1#C#Qanger#Q:-1}#C#Qsgcom#Q:{#Qmood#Q:#Q#Q#C#Qscale#Q:-1}}</v>
      </c>
      <c r="Y120" s="40" t="s">
        <v>102</v>
      </c>
      <c r="Z120" s="36" t="str">
        <f t="shared" si="116"/>
        <v>say</v>
      </c>
      <c r="AA120" s="36"/>
      <c r="AB120" s="36" t="str" cm="1">
        <f t="array" ref="AB120">IF(C120="observe",channel_av_observe,"") &amp; IF(C120="register",channel_av_register,"")  &amp; IF(C120="listen",channel_av_listen,"")</f>
        <v/>
      </c>
      <c r="AC120" s="36" t="str">
        <f t="shared" si="130"/>
        <v/>
      </c>
      <c r="AD120" s="36" t="str">
        <f t="shared" si="131"/>
        <v/>
      </c>
      <c r="AE120" s="42" t="s">
        <v>103</v>
      </c>
      <c r="AF120" s="37" t="s">
        <v>293</v>
      </c>
      <c r="AG120" s="37"/>
      <c r="AH120" s="37" t="s">
        <v>294</v>
      </c>
      <c r="AI120" s="37"/>
      <c r="AJ120" s="114">
        <f>A120</f>
        <v>116</v>
      </c>
      <c r="AK120" s="56" t="str">
        <f t="shared" si="88"/>
        <v>116_bye</v>
      </c>
      <c r="AL120" s="37"/>
      <c r="AM120" s="133"/>
      <c r="AN120" s="37"/>
      <c r="AO120" s="37"/>
      <c r="AP120" s="37"/>
      <c r="AQ120" s="37"/>
      <c r="AR120" s="37"/>
      <c r="AS120" s="37"/>
      <c r="AT120" s="37"/>
      <c r="AU120" s="37"/>
      <c r="AV120" s="37"/>
      <c r="AW120" s="37"/>
      <c r="AX120" s="37"/>
      <c r="AY120" s="37"/>
      <c r="AZ120" s="37"/>
      <c r="BA120" s="37"/>
      <c r="BB120" s="37"/>
      <c r="BC120" s="41"/>
      <c r="BD120" s="42"/>
      <c r="BE120" s="42"/>
      <c r="BF120" s="41"/>
      <c r="BG120" s="104"/>
      <c r="BH120" s="108"/>
      <c r="BI120" s="108" t="s">
        <v>77</v>
      </c>
      <c r="BJ120" s="110"/>
      <c r="BK120" s="41"/>
      <c r="BL120" s="42" t="s">
        <v>120</v>
      </c>
      <c r="BM120" s="35">
        <v>1</v>
      </c>
      <c r="BN120" s="35">
        <v>0</v>
      </c>
      <c r="BO120" s="35">
        <v>0</v>
      </c>
      <c r="BP120" s="35">
        <v>-5</v>
      </c>
      <c r="BQ120" s="35">
        <v>0</v>
      </c>
      <c r="BR120" s="41"/>
      <c r="BS120" s="35">
        <v>-1</v>
      </c>
      <c r="BT120" s="35">
        <v>-1</v>
      </c>
      <c r="BU120" s="35">
        <v>-1</v>
      </c>
      <c r="BV120" s="35">
        <v>-1</v>
      </c>
      <c r="BW120" s="35">
        <v>-1</v>
      </c>
      <c r="BX120" s="41"/>
      <c r="BY120" s="34"/>
      <c r="BZ120" s="43" t="s">
        <v>165</v>
      </c>
      <c r="CA120" s="43" t="s">
        <v>165</v>
      </c>
      <c r="CB120" s="158" t="str">
        <f t="shared" si="133"/>
        <v>{"azure":{"style":"Whispering","degree":1,"pause":0,"pitch":0,"rate":-5,"volume":0},"emotion":{"sadness":-1,"joy":-1,"fear":-1,"disgust":-1,"anger":-1},"sgcom":{"mood":"","scale":-1}}</v>
      </c>
      <c r="AOE120" s="28"/>
    </row>
    <row r="121" spans="1:86 1071:1071" s="27" customFormat="1">
      <c r="A121" s="32">
        <f t="shared" si="108"/>
        <v>117</v>
      </c>
      <c r="B121" s="32"/>
      <c r="C121" s="32" t="s">
        <v>295</v>
      </c>
      <c r="D121" s="32"/>
      <c r="E121" s="34" t="s">
        <v>296</v>
      </c>
      <c r="F121" s="34" t="str">
        <f t="shared" si="111"/>
        <v/>
      </c>
      <c r="G121" s="34" t="str">
        <f t="shared" si="94"/>
        <v/>
      </c>
      <c r="H121" s="116" t="str">
        <f t="shared" si="134"/>
        <v/>
      </c>
      <c r="I121" s="36" t="str">
        <f t="shared" si="101"/>
        <v/>
      </c>
      <c r="J121" s="36" t="str">
        <f t="shared" si="135"/>
        <v/>
      </c>
      <c r="K121" s="116" t="str">
        <f t="shared" si="102"/>
        <v/>
      </c>
      <c r="L121" s="36"/>
      <c r="M121" s="136" t="str">
        <f t="shared" si="109"/>
        <v/>
      </c>
      <c r="N121" s="116" t="str">
        <f t="shared" si="136"/>
        <v/>
      </c>
      <c r="O121" s="129" t="str">
        <f t="shared" si="112"/>
        <v/>
      </c>
      <c r="P121" s="80" t="str">
        <f>IF(Y120&lt;&gt;"x","",j_opn&amp;"id"&amp;j_sep&amp;A120 &amp; j_nxt &amp; "type" &amp; j_sep &amp; label_meat &amp; j_nxt&amp; "channel" &amp;j_sep  &amp; Z121&amp; j_nxt&amp; "state" &amp; j_sep &amp; "idle" &amp; j_qot &amp; j_cls)</f>
        <v>{"id":"116","type":"meat","channel":"state","state":"idle"}</v>
      </c>
      <c r="Q121" s="37" t="str">
        <f>IF(AND(C121&lt;&gt;"speak_gpt",C121&lt;&gt;"faketomask"),P121,"") &amp; IF(C121="maketext",j_opn&amp;"id"&amp;j_sep&amp;A121 &amp; j_nxt &amp; "type" &amp; j_sep &amp; label_meat &amp; j_nxt&amp; "channel" &amp;j_sep  &amp; Z121&amp; j_nxt&amp; "state" &amp; j_sep &amp; "think" &amp; j_qot &amp; j_cls,"")</f>
        <v>{"id":"116","type":"meat","channel":"state","state":"idle"}</v>
      </c>
      <c r="R121" s="141">
        <v>3</v>
      </c>
      <c r="S121" s="148">
        <f t="shared" si="115"/>
        <v>3</v>
      </c>
      <c r="T121" s="137">
        <f t="shared" si="129"/>
        <v>3</v>
      </c>
      <c r="U121" s="45"/>
      <c r="V121" s="35" t="str">
        <f>IF(OR(P121="",Y121=""),"",osc_exe_npmosc&amp;" --host "&amp;osc_ip&amp;":"&amp;osc_port_control&amp;" "&amp;osc_channel_meat_stub&amp; "  " &amp; j_qot &amp;X121 &amp; j_qot)</f>
        <v>/opt/homebrew/bin/osc --host 10.10.10.10:5918 /meat  "{#Qid#Q:#Q116#Q#C#Qtype#Q:#Qmeat#Q#C#Qchannel#Q:#Qstate#Q#C#Qstate#Q:#Qidle#Q}"</v>
      </c>
      <c r="W121" s="36" t="str">
        <f t="shared" si="113"/>
        <v>/opt/homebrew/bin/sendosc 10.10.10.10 5918 state s {\"id\":\"116\",\"type\":\"meat\",\"channel\":\"state\",\"state\":\"idle\"\}</v>
      </c>
      <c r="X121" s="36" t="str">
        <f t="shared" si="114"/>
        <v>{#Qid#Q:#Q116#Q#C#Qtype#Q:#Qmeat#Q#C#Qchannel#Q:#Qstate#Q#C#Qstate#Q:#Qidle#Q}</v>
      </c>
      <c r="Y121" s="79" t="s">
        <v>102</v>
      </c>
      <c r="Z121" s="36" t="str">
        <f t="shared" si="116"/>
        <v>state</v>
      </c>
      <c r="AA121" s="36"/>
      <c r="AB121" s="36" t="str" cm="1">
        <f t="array" ref="AB121">IF(C121="observe",channel_av_observe,"") &amp; IF(C121="register",channel_av_register,"")  &amp; IF(C121="listen",channel_av_listen,"")</f>
        <v/>
      </c>
      <c r="AC121" s="36" t="str">
        <f t="shared" si="130"/>
        <v/>
      </c>
      <c r="AD121" s="36" t="str">
        <f t="shared" si="131"/>
        <v/>
      </c>
      <c r="AE121" s="42"/>
      <c r="AF121" s="78" t="s">
        <v>297</v>
      </c>
      <c r="AG121" s="78"/>
      <c r="AH121" s="70"/>
      <c r="AI121" s="70"/>
      <c r="AJ121" s="70"/>
      <c r="AK121" s="56" t="str">
        <f t="shared" si="88"/>
        <v/>
      </c>
      <c r="AL121" s="70"/>
      <c r="AM121" s="133"/>
      <c r="AN121" s="70"/>
      <c r="AO121" s="70"/>
      <c r="AP121" s="70"/>
      <c r="AQ121" s="70"/>
      <c r="AR121" s="70"/>
      <c r="AS121" s="70"/>
      <c r="AT121" s="70"/>
      <c r="AU121" s="70"/>
      <c r="AV121" s="70"/>
      <c r="AW121" s="70"/>
      <c r="AX121" s="70"/>
      <c r="AY121" s="70"/>
      <c r="AZ121" s="70"/>
      <c r="BA121" s="70"/>
      <c r="BB121" s="70"/>
      <c r="BC121" s="72"/>
      <c r="BD121" s="42"/>
      <c r="BE121" s="70"/>
      <c r="BF121" s="72"/>
      <c r="BG121" s="108"/>
      <c r="BH121" s="108"/>
      <c r="BI121" s="108" t="s">
        <v>77</v>
      </c>
      <c r="BJ121" s="110"/>
      <c r="BK121" s="72"/>
      <c r="BL121" s="70"/>
      <c r="BM121" s="35"/>
      <c r="BN121" s="35"/>
      <c r="BO121" s="35"/>
      <c r="BP121" s="35"/>
      <c r="BQ121" s="35"/>
      <c r="BR121" s="72"/>
      <c r="BS121" s="35"/>
      <c r="BT121" s="35"/>
      <c r="BU121" s="35"/>
      <c r="BV121" s="35"/>
      <c r="BW121" s="35"/>
      <c r="BX121" s="72"/>
      <c r="BY121" s="43"/>
      <c r="BZ121" s="43"/>
      <c r="CA121" s="43"/>
      <c r="CB121" s="158" t="str">
        <f t="shared" si="133"/>
        <v>{"azure":{"style":"","degree":,"pause":,"pitch":,"rate":,"volume":},"emotion":{"sadness":,"joy":,"fear":,"disgust":,"anger":},"sgcom":{"mood":"","scale":}}</v>
      </c>
      <c r="AOE121" s="28"/>
    </row>
    <row r="122" spans="1:86 1071:1071" s="27" customFormat="1">
      <c r="A122" s="32">
        <f>A121+1</f>
        <v>118</v>
      </c>
      <c r="B122" s="32">
        <v>8</v>
      </c>
      <c r="C122" s="32" t="s">
        <v>73</v>
      </c>
      <c r="D122" s="32"/>
      <c r="E122" s="34" t="s">
        <v>298</v>
      </c>
      <c r="F122" s="34" t="str">
        <f t="shared" si="111"/>
        <v/>
      </c>
      <c r="G122" s="34" t="str">
        <f t="shared" si="94"/>
        <v/>
      </c>
      <c r="H122" s="116" t="str">
        <f t="shared" si="134"/>
        <v/>
      </c>
      <c r="I122" s="36" t="str">
        <f t="shared" si="101"/>
        <v>mood</v>
      </c>
      <c r="J122" s="36" t="str">
        <f t="shared" si="135"/>
        <v>{"command" : "mood","id":%id,"mood_num":"%mood_num"}</v>
      </c>
      <c r="K122" s="116" t="str">
        <f t="shared" si="102"/>
        <v>{"command" : "mood","id":118,"mood_num":"8"}</v>
      </c>
      <c r="L122" s="36"/>
      <c r="M122" s="136" t="str">
        <f t="shared" si="109"/>
        <v/>
      </c>
      <c r="N122" s="116" t="str">
        <f t="shared" si="136"/>
        <v/>
      </c>
      <c r="O122" s="129" t="str">
        <f t="shared" si="112"/>
        <v/>
      </c>
      <c r="P122" s="81"/>
      <c r="Q122" s="37"/>
      <c r="R122" s="141">
        <v>60</v>
      </c>
      <c r="S122" s="148">
        <f t="shared" ref="S122" si="137">IF(R122&lt;&gt;"", R122, IF(OR(C122="speak",C122="speak_gpt",C122="play"),trigger_mask_spoke,"") &amp; IF(C122="listen",trigger_user_spoke,"") &amp; IF(C122="maketext","mask_generated","") &amp; IF(C122="screen","clone_spoke","") )</f>
        <v>60</v>
      </c>
      <c r="T122" s="137">
        <f t="shared" ref="T122" si="138">IFERROR(LOOKUP(S122,table_triggers),S122)</f>
        <v>60</v>
      </c>
      <c r="U122" s="45"/>
      <c r="V122" s="35" t="str">
        <f>IF(OR(P122="",Y122=""),"",osc_exe_npmosc&amp;" --host "&amp;osc_ip&amp;":"&amp;osc_port_control&amp;" "&amp;Z122&amp; "  " &amp; j_qot &amp;X122 &amp; j_qot)</f>
        <v/>
      </c>
      <c r="W122" s="36" t="str">
        <f t="shared" si="113"/>
        <v/>
      </c>
      <c r="X122" s="36" t="str">
        <f t="shared" si="114"/>
        <v/>
      </c>
      <c r="Y122" s="34"/>
      <c r="Z122" s="36" t="str">
        <f t="shared" si="116"/>
        <v/>
      </c>
      <c r="AA122" s="36"/>
      <c r="AB122" s="36" t="str" cm="1">
        <f t="array" ref="AB122">IF(C122="observe",channel_av_observe,"") &amp; IF(C122="register",channel_av_register,"")  &amp; IF(C122="listen",channel_av_listen,"")</f>
        <v/>
      </c>
      <c r="AC122" s="36" t="str">
        <f t="shared" si="130"/>
        <v>/mood</v>
      </c>
      <c r="AD122" s="36" t="str">
        <f t="shared" si="131"/>
        <v/>
      </c>
      <c r="AE122" s="42"/>
      <c r="AF122" s="47"/>
      <c r="AG122" s="47"/>
      <c r="AH122" s="47"/>
      <c r="AI122" s="47"/>
      <c r="AJ122" s="47"/>
      <c r="AK122" s="56" t="str">
        <f t="shared" si="88"/>
        <v/>
      </c>
      <c r="AL122" s="47"/>
      <c r="AM122" s="133"/>
      <c r="AN122" s="47"/>
      <c r="AO122" s="47"/>
      <c r="AP122" s="47"/>
      <c r="AQ122" s="47"/>
      <c r="AR122" s="47"/>
      <c r="AS122" s="47"/>
      <c r="AT122" s="47"/>
      <c r="AU122" s="47"/>
      <c r="AV122" s="47"/>
      <c r="AW122" s="47"/>
      <c r="AX122" s="47"/>
      <c r="AY122" s="47"/>
      <c r="AZ122" s="47"/>
      <c r="BA122" s="47"/>
      <c r="BB122" s="47"/>
      <c r="BC122" s="48"/>
      <c r="BD122" s="42"/>
      <c r="BE122" s="47"/>
      <c r="BF122" s="48"/>
      <c r="BG122" s="108"/>
      <c r="BH122" s="108"/>
      <c r="BI122" s="108"/>
      <c r="BJ122" s="110"/>
      <c r="BK122" s="48"/>
      <c r="BL122" s="47"/>
      <c r="BM122" s="35"/>
      <c r="BN122" s="35"/>
      <c r="BO122" s="35"/>
      <c r="BP122" s="35"/>
      <c r="BQ122" s="35"/>
      <c r="BR122" s="48"/>
      <c r="BS122" s="35"/>
      <c r="BT122" s="35"/>
      <c r="BU122" s="35"/>
      <c r="BV122" s="35"/>
      <c r="BW122" s="35"/>
      <c r="BX122" s="48"/>
      <c r="BY122" s="43"/>
      <c r="BZ122" s="43"/>
      <c r="CA122" s="43"/>
      <c r="CB122" s="158" t="str">
        <f t="shared" si="133"/>
        <v/>
      </c>
      <c r="AOE122" s="28"/>
    </row>
    <row r="123" spans="1:86 1071:1071" s="27" customFormat="1">
      <c r="A123" s="32">
        <f>A122+1</f>
        <v>119</v>
      </c>
      <c r="B123" s="32">
        <v>1</v>
      </c>
      <c r="C123" s="32" t="s">
        <v>73</v>
      </c>
      <c r="D123" s="32"/>
      <c r="E123" s="34" t="s">
        <v>299</v>
      </c>
      <c r="F123" s="34" t="str">
        <f t="shared" ref="F123" si="139">IF(A123="listen","unmute","") &amp; IF(OR(A123="speak",A123="maketext"),"mute","")</f>
        <v/>
      </c>
      <c r="G123" s="34" t="str">
        <f t="shared" si="94"/>
        <v/>
      </c>
      <c r="H123" s="116" t="str">
        <f t="shared" ref="H123" si="140">IFERROR(LOOKUP(G123, table_observe_commands),"")</f>
        <v/>
      </c>
      <c r="I123" s="36" t="str">
        <f t="shared" ref="I123" si="141">IF(C123="screen","fakeplay","") &amp; IF(C123="mood","mood","") &amp; IF(C123="fakemake","fakemake","")</f>
        <v>mood</v>
      </c>
      <c r="J123" s="36" t="str">
        <f t="shared" ref="J123" si="142">IFERROR(LOOKUP(I123, table_td_commands),"")</f>
        <v>{"command" : "mood","id":%id,"mood_num":"%mood_num"}</v>
      </c>
      <c r="K123" s="116" t="str">
        <f t="shared" si="102"/>
        <v>{"command" : "mood","id":119,"mood_num":"1"}</v>
      </c>
      <c r="L123" s="36"/>
      <c r="M123" s="136" t="str">
        <f t="shared" ref="M123" si="143">IF(L123&lt;&gt;"",L123,IF(C123="maketext","unmute","")&amp;IF(C123="speak","speak","")&amp;IF(C123="listen","mute",""))</f>
        <v/>
      </c>
      <c r="N123" s="116" t="str">
        <f t="shared" ref="N123" si="144">IFERROR(LOOKUP(M123, table_bot_commands),"")</f>
        <v/>
      </c>
      <c r="O123" s="129" t="str">
        <f t="shared" ref="O123" si="145">SUBSTITUTE(SUBSTITUTE(N123,"%prompt",""&amp;AG123&amp;""),"%text",AF123)</f>
        <v/>
      </c>
      <c r="P123" s="81"/>
      <c r="Q123" s="37"/>
      <c r="R123" s="141"/>
      <c r="S123" s="148" t="str">
        <f t="shared" ref="S123" si="146">IF(R123&lt;&gt;"", R123, IF(OR(C123="speak",C123="speak_gpt",C123="play"),trigger_mask_spoke,"") &amp; IF(C123="listen",trigger_user_spoke,"") &amp; IF(C123="maketext","mask_generated","") &amp; IF(C123="screen","clone_spoke","") )</f>
        <v/>
      </c>
      <c r="T123" s="137" t="str">
        <f t="shared" ref="T123" si="147">IFERROR(LOOKUP(S123,table_triggers),S123)</f>
        <v/>
      </c>
      <c r="U123" s="45"/>
      <c r="V123" s="35" t="str">
        <f>IF(OR(P123="",Y123=""),"",osc_exe_npmosc&amp;" --host "&amp;osc_ip&amp;":"&amp;osc_port_control&amp;" "&amp;Z123&amp; "  " &amp; j_qot &amp;X123 &amp; j_qot)</f>
        <v/>
      </c>
      <c r="W123" s="36" t="str">
        <f t="shared" ref="W123" si="148">IF(OR(P123="",Y123=""),"",osc_exe_sendosc&amp;" "&amp;osc_ip&amp;" "&amp; osc_port_control &amp;" "&amp;Z123&amp;" s "&amp;SUBSTITUTE(SUBSTITUTE(SUBSTITUTE(SUBSTITUTE(SUBSTITUTE(SUBSTITUTE(SUBSTITUTE(P123,"""","\"&amp;"""")," ","\ "),"}","\}"),"?","\?"),"(","\("),")","\)"),"|","\|"))</f>
        <v/>
      </c>
      <c r="X123" s="36" t="str">
        <f t="shared" ref="X123" si="149">IF(Y123&lt;&gt;"x","",IF(P123="","",SUBSTITUTE(SUBSTITUTE(SUBSTITUTE(SUBSTITUTE(P123,"""","#Q")," ","#S"),",","#C"),"'","#A")))</f>
        <v/>
      </c>
      <c r="Y123" s="34"/>
      <c r="Z123" s="36" t="str">
        <f t="shared" si="116"/>
        <v/>
      </c>
      <c r="AA123" s="36"/>
      <c r="AB123" s="36" t="str" cm="1">
        <f t="array" ref="AB123">IF(C123="observe",channel_av_observe,"") &amp; IF(C123="register",channel_av_register,"")  &amp; IF(C123="listen",channel_av_listen,"")</f>
        <v/>
      </c>
      <c r="AC123" s="36" t="str">
        <f t="shared" ref="AC123" si="150">IF(C123="mood",channel_td_mood,"") &amp; IF(C123="makefakes_td",channel_td_makefakes,"") &amp; IF(C123="pause",channel_td_pause,"")  &amp; IF(C123="screen",channel_td_screen,"")</f>
        <v>/mood</v>
      </c>
      <c r="AD123" s="36" t="str">
        <f t="shared" ref="AD123" si="151">IF(C123="maketext",channel_bw_generate,"")</f>
        <v/>
      </c>
      <c r="AE123" s="42"/>
      <c r="AF123" s="47"/>
      <c r="AG123" s="47"/>
      <c r="AH123" s="47"/>
      <c r="AI123" s="47"/>
      <c r="AJ123" s="47"/>
      <c r="AK123" s="56" t="str">
        <f t="shared" ref="AK123" si="152">IF(AH123="","",TEXT(SUBSTITUTE(AJ123," ","_"),"000") &amp; "_" &amp; AH123)</f>
        <v/>
      </c>
      <c r="AL123" s="47"/>
      <c r="AM123" s="133"/>
      <c r="AN123" s="47"/>
      <c r="AO123" s="47"/>
      <c r="AP123" s="47"/>
      <c r="AQ123" s="47"/>
      <c r="AR123" s="47"/>
      <c r="AS123" s="47"/>
      <c r="AT123" s="47"/>
      <c r="AU123" s="47"/>
      <c r="AV123" s="47"/>
      <c r="AW123" s="47"/>
      <c r="AX123" s="47"/>
      <c r="AY123" s="47"/>
      <c r="AZ123" s="47"/>
      <c r="BA123" s="47"/>
      <c r="BB123" s="47"/>
      <c r="BC123" s="48"/>
      <c r="BD123" s="42"/>
      <c r="BE123" s="47"/>
      <c r="BF123" s="48"/>
      <c r="BG123" s="108"/>
      <c r="BH123" s="108"/>
      <c r="BI123" s="108"/>
      <c r="BJ123" s="110"/>
      <c r="BK123" s="48"/>
      <c r="BL123" s="47"/>
      <c r="BM123" s="35"/>
      <c r="BN123" s="35"/>
      <c r="BO123" s="35"/>
      <c r="BP123" s="35"/>
      <c r="BQ123" s="35"/>
      <c r="BR123" s="48"/>
      <c r="BS123" s="35"/>
      <c r="BT123" s="35"/>
      <c r="BU123" s="35"/>
      <c r="BV123" s="35"/>
      <c r="BW123" s="35"/>
      <c r="BX123" s="48"/>
      <c r="BY123" s="43"/>
      <c r="BZ123" s="43"/>
      <c r="CA123" s="43"/>
      <c r="CB123" s="158" t="str">
        <f>IF(Y123&lt;&gt;"x","",j_opn&amp;label_gpt_emo&amp;j_sep&amp;BD123&amp;j_nxt&amp;label_gpt_tone&amp;j_sep&amp;BE123&amp;j_nxt&amp;label_animate&amp;j_sub_opn&amp;label_pre&amp;j_sep&amp;IF(do_anim=FALSE,"",BG123)&amp;j_nxt&amp;label_post&amp;j_sep&amp;IF(do_anim="","",BH123)&amp;j_nxt&amp;label_next_state&amp;j_sep&amp;BI123&amp;J_sub_cls&amp;label_azure&amp;j_sub_opn&amp;label_style&amp;j_sep&amp;BL123&amp;j_nxt&amp;label_degree&amp;J_sep_num&amp;BM123&amp;j_nxt_num&amp;label_pause&amp;J_sep_num&amp;BN123&amp;j_nxt_num&amp;label_pitch&amp;J_sep_num&amp;BO123&amp;j_nxt_num&amp;label_rate&amp;J_sep_num&amp;BP123&amp;j_nxt_num&amp;label_volume&amp;J_sep_num&amp;BQ123&amp;j_sub_cls_num&amp;label_emotion&amp;j_sub_opn&amp;label_sad&amp;J_sep_num&amp;BS123&amp;j_nxt_num&amp;label_joy&amp;J_sep_num&amp;BT123&amp;j_nxt_num&amp;label_fear&amp;J_sep_num&amp;BU123&amp;j_nxt_num&amp;label_disgust&amp;J_sep_num&amp;BV123&amp;j_nxt_num&amp;label_anger&amp;J_sep_num&amp;BW123&amp;j_sub_cls_num&amp;label_sg&amp;j_sub_opn&amp;label_mood&amp;j_sep&amp;BY123&amp;j_nxt&amp;label_scale&amp;J_sep_num&amp;BZ123&amp;j_end_num)</f>
        <v/>
      </c>
      <c r="AOE123" s="28"/>
    </row>
    <row r="124" spans="1:86 1071:1071" s="28" customFormat="1">
      <c r="A124" s="32">
        <f t="shared" si="108"/>
        <v>120</v>
      </c>
      <c r="B124" s="32"/>
      <c r="C124" s="73"/>
      <c r="D124" s="73"/>
      <c r="E124" s="73"/>
      <c r="F124" s="34" t="str">
        <f t="shared" ref="F124:F141" si="153">IF(A124="listen","unmute","") &amp; IF(OR(A124="speak",A124="maketext"),"mute","")</f>
        <v/>
      </c>
      <c r="G124" s="34" t="str">
        <f t="shared" ref="G124:G134" si="154">IF(F124&lt;&gt;"",F124, IF(C124="listen","unmute","") &amp; IF(OR(C124="speak",C124="maketext",C124="play",C124="screen"),"mute","") )</f>
        <v/>
      </c>
      <c r="H124" s="116" t="str">
        <f t="shared" ref="H124:H141" si="155">IFERROR(LOOKUP(G124, table_observe_commands),"")</f>
        <v/>
      </c>
      <c r="I124" s="36" t="str">
        <f t="shared" si="101"/>
        <v/>
      </c>
      <c r="J124" s="124"/>
      <c r="K124" s="116" t="str">
        <f t="shared" ref="K124:K138" si="156">SUBSTITUTE(SUBSTITUTE(SUBSTITUTE(J124,"%id",A124),"%screens",D124),"%data",IF(P124="","{}",P124))</f>
        <v/>
      </c>
      <c r="L124" s="124"/>
      <c r="M124" s="136" t="str">
        <f t="shared" si="109"/>
        <v/>
      </c>
      <c r="N124" s="116" t="str">
        <f t="shared" ref="N124:N141" si="157">IFERROR(LOOKUP(M124, table_bot_commands),"")</f>
        <v/>
      </c>
      <c r="O124" s="129" t="str">
        <f t="shared" ref="O124:O141" si="158">SUBSTITUTE(SUBSTITUTE(N124,"%prompt",""&amp;AG124&amp;""),"%text","" &amp; AF124 &amp; "")</f>
        <v/>
      </c>
      <c r="P124" s="73"/>
      <c r="Q124" s="37" t="str">
        <f t="shared" ref="Q124:Q141" si="159">IF(AND(C124&lt;&gt;"speak_gpt",C124&lt;&gt;"faketomask"),P124,"") &amp; IF(C124="maketext",j_opn&amp;"id"&amp;j_sep&amp;A124 &amp; j_nxt &amp; "type" &amp; j_sep &amp; label_meat &amp; j_nxt&amp; "channel" &amp;j_sep  &amp; Z124&amp; j_nxt&amp; "state" &amp; j_sep &amp; "think" &amp; j_qot &amp; j_cls,"")</f>
        <v/>
      </c>
      <c r="R124" s="141"/>
      <c r="S124" s="141" t="str">
        <f t="shared" ref="S124:S141" si="160">IF(R124&lt;&gt;"", R124,"") &amp;   IF(OR(C124="speak",C124="speak_gpt",C124="play"),trigger_mask_spoke,"") &amp; IF(C124="listen",trigger_user_spoke,"") &amp; IF(C124="maketext","mask_generated","") &amp; IF(C124="screen","clone_spoke","")</f>
        <v/>
      </c>
      <c r="T124" s="137" t="str">
        <f t="shared" si="129"/>
        <v/>
      </c>
      <c r="U124" s="45" t="str">
        <f t="shared" ref="U124:U140" si="161">IF(OR(X124="",P124=""),"",osc_exe_npmosc&amp;" --host "&amp;osc_ip&amp;":"&amp;osc_port_control&amp;" "&amp;Y124&amp; "  " &amp; j_qot &amp;W124 &amp; j_qot)</f>
        <v/>
      </c>
      <c r="V124" s="45" t="str">
        <f t="shared" ref="V124:V140" si="162">IF(OR(X124="",P124=""),"",osc_exe_sendosc&amp;" "&amp;osc_ip&amp;" "&amp; osc_port_control &amp;" "&amp;Y124&amp;" s "&amp;SUBSTITUTE(SUBSTITUTE(SUBSTITUTE(SUBSTITUTE(SUBSTITUTE(SUBSTITUTE(SUBSTITUTE(X124,"""","\"&amp;"""")," ","\ "),"}","\}"),"?","\?"),"(","\("),")","\)"),"|","\|"))</f>
        <v/>
      </c>
      <c r="W124" s="45" t="str">
        <f t="shared" ref="W124:W140" si="163">IF(P124&lt;&gt;"x","",IF(X124="","",SUBSTITUTE(SUBSTITUTE(SUBSTITUTE(SUBSTITUTE(X124,"""","#Q")," ","#S"),",","#C"),"'","#A")))</f>
        <v/>
      </c>
      <c r="X124" s="45"/>
      <c r="Y124" s="73" t="str">
        <f t="shared" ref="Y124:Y140" si="164">IF(P124&lt;&gt;"x","",IF(OR(C124="speak",C124="spoken",C124="screen_azurevoice"),osc_channel_meat_say,IF(C124="play",osc_channel_meat_play,IF(C124="makefakes_lap",osc_channel_meat_fake,""))))</f>
        <v/>
      </c>
      <c r="Z124" s="36" t="str">
        <f t="shared" si="116"/>
        <v/>
      </c>
      <c r="AA124" s="73"/>
      <c r="AB124" s="73"/>
      <c r="AC124" s="73" t="str">
        <f t="shared" ref="AC124:AC140" si="165">IF(C124="maketext",channel_bw_generate,"")</f>
        <v/>
      </c>
      <c r="AD124" s="45"/>
      <c r="AE124" s="42"/>
      <c r="AF124" s="45"/>
      <c r="AG124" s="45"/>
      <c r="AH124" s="45"/>
      <c r="AI124" s="45"/>
      <c r="AJ124" s="56" t="str">
        <f t="shared" ref="AJ124:AJ140" si="166">IF(AF124="","",TEXT(SUBSTITUTE(AI124," ","_"),"000") &amp; "_" &amp; AF124)</f>
        <v/>
      </c>
      <c r="AK124" s="45"/>
      <c r="AL124" s="74"/>
      <c r="AM124" s="133"/>
      <c r="AN124" s="45"/>
      <c r="AO124" s="45"/>
      <c r="AP124" s="45"/>
      <c r="AQ124" s="45"/>
      <c r="AR124" s="45"/>
      <c r="AS124" s="45"/>
      <c r="AT124" s="45"/>
      <c r="AU124" s="45"/>
      <c r="AV124" s="45"/>
      <c r="AW124" s="45"/>
      <c r="AX124" s="45"/>
      <c r="AY124" s="45"/>
      <c r="AZ124" s="45"/>
      <c r="BA124" s="45"/>
      <c r="BB124" s="45"/>
      <c r="BC124" s="74"/>
      <c r="BD124" s="45"/>
      <c r="BE124" s="74"/>
      <c r="BF124" s="74"/>
      <c r="BG124" s="109"/>
      <c r="BH124" s="109"/>
      <c r="BI124" s="111"/>
      <c r="BJ124" s="74"/>
      <c r="BK124" s="74"/>
      <c r="BL124" s="45"/>
      <c r="BM124" s="45"/>
      <c r="BN124" s="45"/>
      <c r="BO124" s="45"/>
      <c r="BP124" s="45"/>
      <c r="BQ124" s="74"/>
      <c r="BR124" s="74"/>
      <c r="BS124" s="45"/>
      <c r="BT124" s="45"/>
      <c r="BU124" s="45"/>
      <c r="BV124" s="45"/>
      <c r="BW124" s="74"/>
      <c r="BX124" s="74"/>
      <c r="BY124" s="45"/>
      <c r="CB124" s="158" t="str">
        <f>IF(Y124&lt;&gt;"x","",j_opn&amp;label_gpt_emo&amp;j_sep&amp;BD124&amp;j_nxt&amp;label_gpt_tone&amp;j_sep&amp;BE124&amp;j_nxt&amp;label_animate&amp;j_sub_opn&amp;label_pre&amp;j_sep&amp;IF(do_anim=FALSE,"",BG124)&amp;j_nxt&amp;label_post&amp;j_sep&amp;IF(do_anim="","",BH124)&amp;j_nxt&amp;label_next_state&amp;j_sep&amp;BI124&amp;J_sub_cls&amp;label_azure&amp;j_sub_opn&amp;label_style&amp;j_sep&amp;BL124&amp;j_nxt&amp;label_degree&amp;J_sep_num&amp;BM124&amp;j_nxt_num&amp;label_pause&amp;J_sep_num&amp;BN124&amp;j_nxt_num&amp;label_pitch&amp;J_sep_num&amp;BO124&amp;j_nxt_num&amp;label_rate&amp;J_sep_num&amp;BP124&amp;j_nxt_num&amp;label_volume&amp;J_sep_num&amp;BQ124&amp;j_sub_cls_num&amp;label_emotion&amp;j_sub_opn&amp;label_sad&amp;J_sep_num&amp;BS124&amp;j_nxt_num&amp;label_joy&amp;J_sep_num&amp;BT124&amp;j_nxt_num&amp;label_fear&amp;J_sep_num&amp;BU124&amp;j_nxt_num&amp;label_disgust&amp;J_sep_num&amp;BV124&amp;j_nxt_num&amp;label_anger&amp;J_sep_num&amp;BW124&amp;j_sub_cls_num&amp;label_sg&amp;j_sub_opn&amp;label_mood&amp;j_sep&amp;BY124&amp;j_nxt&amp;label_scale&amp;J_sep_num&amp;BZ124&amp;j_end_num)</f>
        <v/>
      </c>
    </row>
    <row r="125" spans="1:86 1071:1071" s="27" customFormat="1">
      <c r="A125" s="32">
        <f t="shared" si="108"/>
        <v>121</v>
      </c>
      <c r="B125" s="32"/>
      <c r="C125" s="32" t="s">
        <v>100</v>
      </c>
      <c r="D125" s="32"/>
      <c r="E125" s="34" t="s">
        <v>101</v>
      </c>
      <c r="F125" s="34" t="str">
        <f t="shared" si="153"/>
        <v/>
      </c>
      <c r="G125" s="34" t="str">
        <f t="shared" si="154"/>
        <v>mute</v>
      </c>
      <c r="H125" s="116" t="str">
        <f t="shared" si="155"/>
        <v>{"av-command": "stt-control", "data": {"listening": false}}</v>
      </c>
      <c r="I125" s="36" t="str">
        <f t="shared" ref="I125" si="167">IF(C125="screen","fakeplay","") &amp; IF(C125="mood","mood","") &amp; IF(C125="fakemake","fakemake","")</f>
        <v/>
      </c>
      <c r="J125" s="36" t="str">
        <f t="shared" ref="J125" si="168">IFERROR(LOOKUP(I125, table_td_commands),"")</f>
        <v/>
      </c>
      <c r="K125" s="116" t="str">
        <f t="shared" ref="K125" si="169">SUBSTITUTE(SUBSTITUTE(SUBSTITUTE(SUBSTITUTE(SUBSTITUTE(J125,"%id",A125),"%screens",D125),"%data",IF(P125="","{}",P125)),"%mood_num",B125),"%sound_name",AK125)</f>
        <v/>
      </c>
      <c r="L125" s="36"/>
      <c r="M125" s="136" t="str">
        <f t="shared" ref="M125" si="170">IF(L125&lt;&gt;"",L125,IF(C125="maketext","unmute","")&amp;IF(C125="speak","speak","")&amp;IF(C125="listen","mute",""))</f>
        <v>speak</v>
      </c>
      <c r="N125" s="116" t="str">
        <f t="shared" si="157"/>
        <v>{ "command": "speak", "entity": "Eliza", "data" : { "text" : "%text"}}</v>
      </c>
      <c r="O125" s="129" t="str">
        <f t="shared" ref="O125" si="171">SUBSTITUTE(SUBSTITUTE(N125,"%prompt",""&amp;AG125&amp;""),"%text",AF125)</f>
        <v>{ "command": "speak", "entity": "Eliza", "data" : { "text" : "You can [prosody pitch=5 rate=-5]go [/prosody][prosody pitch=-30]now [/prosody]."}}</v>
      </c>
      <c r="P125" s="37" t="str">
        <f>IF(Y125&lt;&gt;"x","",j_opn&amp;"id"&amp;j_sep&amp;A125 &amp; j_nxt&amp;label_deepfake_name &amp; j_sep &amp; AH125 &amp; j_nxt&amp; "type" &amp; j_sep &amp; "meat" &amp; j_nxt&amp; "channel" &amp;j_sep&amp;Z125&amp;j_nxt&amp;label_role&amp;j_sep&amp;AE125&amp;j_nxt&amp;label_text&amp;j_sep&amp;AF125&amp;j_nxt&amp;label_gpt_emo&amp;j_sep&amp;BD125&amp;j_nxt&amp;label_gpt_tone&amp;j_sep&amp;BE125&amp;j_nxt&amp;label_animate&amp;j_sub_opn&amp;label_pre&amp;j_sep&amp;IF(do_anim=FALSE,"",BG125)&amp;j_nxt&amp;label_post&amp;j_sep&amp;IF(do_anim="","",BH125)&amp;j_nxt&amp;label_next_state&amp;j_sep&amp;BI125&amp;J_sub_cls&amp;label_azure&amp;j_sub_opn&amp;label_style&amp;j_sep&amp;BL125&amp;j_nxt&amp;label_degree&amp;J_sep_num&amp;BM125&amp;j_nxt_num&amp;label_pause&amp;J_sep_num&amp;BN125&amp;j_nxt_num&amp;label_pitch&amp;J_sep_num&amp;BO125&amp;j_nxt_num&amp;label_rate&amp;J_sep_num&amp;BP125&amp;j_nxt_num&amp;label_volume&amp;J_sep_num&amp;BQ125&amp;j_sub_cls_num&amp;label_emotion&amp;j_sub_opn&amp;label_sad&amp;J_sep_num&amp;BS125&amp;j_nxt_num&amp;label_joy&amp;J_sep_num&amp;BT125&amp;j_nxt_num&amp;label_fear&amp;J_sep_num&amp;BU125&amp;j_nxt_num&amp;label_disgust&amp;J_sep_num&amp;BV125&amp;j_nxt_num&amp;label_anger&amp;J_sep_num&amp;BW125&amp;j_sub_cls_num&amp;label_sg&amp;j_sub_opn&amp;label_mood&amp;j_sep&amp;BY125&amp;j_nxt&amp;label_scale&amp;J_sep_num&amp;BZ125&amp;j_end_num)</f>
        <v>{"id":"121","name":"you_can_go","type":"meat","channel":"say","role":"mask","text":"You can [prosody pitch=5 rate=-5]go [/prosody][prosody pitch=-30]now [/prosody].","gpt_emotion":"","gpt_tone":"","animate":{"pre":"affectionate","post":"","next_state":""},"azure":{"style":"","degree":0,"pause":0,"pitch":0,"rate":-5,"volume":0},"emotion":{"sadness":-1,"joy":-1,"fear":-1,"disgust":-1,"anger":-1},"sgcom":{"mood":"","scale":-1}}</v>
      </c>
      <c r="Q125" s="37" t="str">
        <f>IF(AND(C125&lt;&gt;"speak_gpt",C125&lt;&gt;"faketomask"),P125,"") &amp; IF(C125="maketext",j_opn&amp;"id"&amp;j_sep&amp;A125 &amp; j_nxt &amp; "type" &amp; j_sep &amp; label_meat &amp; j_nxt&amp; "channel" &amp;j_sep  &amp; Z125&amp; j_nxt&amp; "state" &amp; j_sep &amp; "think" &amp; j_qot &amp; j_cls,"")</f>
        <v>{"id":"121","name":"you_can_go","type":"meat","channel":"say","role":"mask","text":"You can [prosody pitch=5 rate=-5]go [/prosody][prosody pitch=-30]now [/prosody].","gpt_emotion":"","gpt_tone":"","animate":{"pre":"affectionate","post":"","next_state":""},"azure":{"style":"","degree":0,"pause":0,"pitch":0,"rate":-5,"volume":0},"emotion":{"sadness":-1,"joy":-1,"fear":-1,"disgust":-1,"anger":-1},"sgcom":{"mood":"","scale":-1}}</v>
      </c>
      <c r="R125" s="141"/>
      <c r="S125" s="148" t="str">
        <f t="shared" ref="S125" si="172">IF(R125&lt;&gt;"", R125, IF(OR(C125="speak",C125="speak_gpt",C125="play"),trigger_mask_spoke,"") &amp; IF(C125="listen",trigger_user_spoke,"") &amp; IF(C125="maketext","mask_generated","") &amp; IF(C125="screen","clone_spoke","") )</f>
        <v>mask_spoke</v>
      </c>
      <c r="T125" s="137" t="str">
        <f t="shared" ref="T125" si="173">IFERROR(LOOKUP(S125,table_triggers),S125)</f>
        <v>{"words-in" : { "entity" : "Eliza"} }</v>
      </c>
      <c r="U125" s="45"/>
      <c r="V125" s="35" t="str">
        <f>IF(OR(P125="",Y125=""),"",osc_exe_npmosc&amp;" --host "&amp;osc_ip&amp;":"&amp;osc_port_control&amp;" "&amp; osc_channel_meat_stub &amp; "  " &amp; j_qot &amp;X125 &amp; j_qot)</f>
        <v>/opt/homebrew/bin/osc --host 10.10.10.10:5918 /meat  "{#Qid#Q:#Q121#Q#C#Qname#Q:#Qyou_can_go#Q#C#Qtype#Q:#Qmeat#Q#C#Qchannel#Q:#Qsay#Q#C#Qrole#Q:#Qmask#Q#C#Qtext#Q:#QYou#Scan#S[prosody#Spitch=5#Srate=-5]go#S[/prosody][prosody#Spitch=-30]now#S[/prosody].#Q#C#Qgpt_emotion#Q:#Q#Q#C#Qgpt_tone#Q:#Q#Q#C#Qanimate#Q:{#Qpre#Q:#Qaffectionate#Q#C#Qpost#Q:#Q#Q#C#Qnext_state#Q:#Q#Q}#C#Qazure#Q:{#Qstyle#Q:#Q#Q#C#Qdegree#Q:0#C#Qpause#Q:0#C#Qpitch#Q:0#C#Qrate#Q:-5#C#Qvolume#Q:0}#C#Qemotion#Q:{#Qsadness#Q:-1#C#Qjoy#Q:-1#C#Qfear#Q:-1#C#Qdisgust#Q:-1#C#Qanger#Q:-1}#C#Qsgcom#Q:{#Qmood#Q:#Q#Q#C#Qscale#Q:-1}}"</v>
      </c>
      <c r="W125" s="36" t="str">
        <f t="shared" ref="W125" si="174">IF(OR(P125="",Y125=""),"",osc_exe_sendosc&amp;" "&amp;osc_ip&amp;" "&amp; osc_port_control &amp;" "&amp;Z125&amp;" s "&amp;SUBSTITUTE(SUBSTITUTE(SUBSTITUTE(SUBSTITUTE(SUBSTITUTE(SUBSTITUTE(SUBSTITUTE(P125,"""","\"&amp;"""")," ","\ "),"}","\}"),"?","\?"),"(","\("),")","\)"),"|","\|"))</f>
        <v>/opt/homebrew/bin/sendosc 10.10.10.10 5918 say s {\"id\":\"121\",\"name\":\"you_can_go\",\"type\":\"meat\",\"channel\":\"say\",\"role\":\"mask\",\"text\":\"You\ can\ [prosody\ pitch=5\ rate=-5]go\ [/prosody][prosody\ pitch=-30]now\ [/prosody].\",\"gpt_emotion\":\"\",\"gpt_tone\":\"\",\"animate\":{\"pre\":\"affectionate\",\"post\":\"\",\"next_state\":\"\"\},\"azure\":{\"style\":\"\",\"degree\":0,\"pause\":0,\"pitch\":0,\"rate\":-5,\"volume\":0\},\"emotion\":{\"sadness\":-1,\"joy\":-1,\"fear\":-1,\"disgust\":-1,\"anger\":-1\},\"sgcom\":{\"mood\":\"\",\"scale\":-1\}\}</v>
      </c>
      <c r="X125" s="36" t="str">
        <f t="shared" ref="X125" si="175">IF(Y125&lt;&gt;"x","",IF(P125="","",SUBSTITUTE(SUBSTITUTE(SUBSTITUTE(SUBSTITUTE(P125,"""","#Q")," ","#S"),",","#C"),"'","#A")))</f>
        <v>{#Qid#Q:#Q121#Q#C#Qname#Q:#Qyou_can_go#Q#C#Qtype#Q:#Qmeat#Q#C#Qchannel#Q:#Qsay#Q#C#Qrole#Q:#Qmask#Q#C#Qtext#Q:#QYou#Scan#S[prosody#Spitch=5#Srate=-5]go#S[/prosody][prosody#Spitch=-30]now#S[/prosody].#Q#C#Qgpt_emotion#Q:#Q#Q#C#Qgpt_tone#Q:#Q#Q#C#Qanimate#Q:{#Qpre#Q:#Qaffectionate#Q#C#Qpost#Q:#Q#Q#C#Qnext_state#Q:#Q#Q}#C#Qazure#Q:{#Qstyle#Q:#Q#Q#C#Qdegree#Q:0#C#Qpause#Q:0#C#Qpitch#Q:0#C#Qrate#Q:-5#C#Qvolume#Q:0}#C#Qemotion#Q:{#Qsadness#Q:-1#C#Qjoy#Q:-1#C#Qfear#Q:-1#C#Qdisgust#Q:-1#C#Qanger#Q:-1}#C#Qsgcom#Q:{#Qmood#Q:#Q#Q#C#Qscale#Q:-1}}</v>
      </c>
      <c r="Y125" s="40" t="s">
        <v>102</v>
      </c>
      <c r="Z125" s="36" t="str">
        <f t="shared" ref="Z125" si="176">IF(Y125&lt;&gt;"x","",IF(OR(C125="speak",C125="speak_gpt",C125="screen_azurevoice"),osc_channel_meat_say,IF(C125="play",osc_channel_meat_play,IF(C125="faketomask",osc_channel_meat_fake,IF(C125="state",osc_channel_meat_state,"")))))</f>
        <v>say</v>
      </c>
      <c r="AA125" s="36"/>
      <c r="AB125" s="36" t="str" cm="1">
        <f t="array" ref="AB125">IF(C125="observe",channel_av_observe,"") &amp; IF(C125="register",channel_av_register,"")  &amp; IF(C125="listen",channel_av_listen,"")</f>
        <v/>
      </c>
      <c r="AC125" s="36" t="str">
        <f t="shared" ref="AC125" si="177">IF(C125="mood",channel_td_mood,"") &amp; IF(C125="makefakes_td",channel_td_makefakes,"") &amp; IF(C125="pause",channel_td_pause,"")  &amp; IF(C125="screen",channel_td_screen,"")</f>
        <v/>
      </c>
      <c r="AD125" s="36" t="str">
        <f t="shared" ref="AD125" si="178">IF(C125="maketext",channel_bw_generate,"")</f>
        <v/>
      </c>
      <c r="AE125" s="42" t="s">
        <v>103</v>
      </c>
      <c r="AF125" s="37" t="s">
        <v>290</v>
      </c>
      <c r="AG125" s="37"/>
      <c r="AH125" s="37" t="s">
        <v>291</v>
      </c>
      <c r="AI125" s="37"/>
      <c r="AJ125" s="114">
        <f>A125</f>
        <v>121</v>
      </c>
      <c r="AK125" s="56" t="str">
        <f t="shared" ref="AK125" si="179">IF(AH125="","",TEXT(SUBSTITUTE(AJ125," ","_"),"000") &amp; "_" &amp; AH125)</f>
        <v>121_you_can_go</v>
      </c>
      <c r="AL125" s="37"/>
      <c r="AM125" s="133"/>
      <c r="AN125" s="37"/>
      <c r="AO125" s="37"/>
      <c r="AP125" s="37"/>
      <c r="AQ125" s="37"/>
      <c r="AR125" s="37"/>
      <c r="AS125" s="37"/>
      <c r="AT125" s="37"/>
      <c r="AU125" s="37"/>
      <c r="AV125" s="37"/>
      <c r="AW125" s="37"/>
      <c r="AX125" s="37"/>
      <c r="AY125" s="37"/>
      <c r="AZ125" s="37"/>
      <c r="BA125" s="37"/>
      <c r="BB125" s="37"/>
      <c r="BC125" s="41"/>
      <c r="BD125" s="42"/>
      <c r="BE125" s="42"/>
      <c r="BF125" s="41"/>
      <c r="BG125" s="104" t="s">
        <v>292</v>
      </c>
      <c r="BH125" s="108"/>
      <c r="BI125" s="108" t="s">
        <v>77</v>
      </c>
      <c r="BJ125" s="110"/>
      <c r="BK125" s="41"/>
      <c r="BL125" s="42"/>
      <c r="BM125" s="35">
        <v>0</v>
      </c>
      <c r="BN125" s="35">
        <v>0</v>
      </c>
      <c r="BO125" s="35">
        <v>0</v>
      </c>
      <c r="BP125" s="35">
        <v>-5</v>
      </c>
      <c r="BQ125" s="35">
        <v>0</v>
      </c>
      <c r="BR125" s="41"/>
      <c r="BS125" s="35">
        <v>-1</v>
      </c>
      <c r="BT125" s="35">
        <v>-1</v>
      </c>
      <c r="BU125" s="35">
        <v>-1</v>
      </c>
      <c r="BV125" s="35">
        <v>-1</v>
      </c>
      <c r="BW125" s="35">
        <v>-1</v>
      </c>
      <c r="BX125" s="41"/>
      <c r="BY125" s="34"/>
      <c r="BZ125" s="43" t="s">
        <v>165</v>
      </c>
      <c r="CA125" s="43" t="s">
        <v>165</v>
      </c>
      <c r="CB125" s="158" t="str">
        <f>IF(Y125&lt;&gt;"x","",j_opn&amp;label_azure&amp;j_sub_opn&amp;label_style&amp;j_sep&amp;BL125&amp;j_nxt&amp;label_degree&amp;J_sep_num&amp;BM125&amp;j_nxt_num&amp;label_pause&amp;J_sep_num&amp;BN125&amp;j_nxt_num&amp;label_pitch&amp;J_sep_num&amp;BO125&amp;j_nxt_num&amp;label_rate&amp;J_sep_num&amp;BP125&amp;j_nxt_num&amp;label_volume&amp;J_sep_num&amp;BQ125&amp;j_sub_cls_num&amp;label_emotion&amp;j_sub_opn&amp;label_sad&amp;J_sep_num&amp;BS125&amp;j_nxt_num&amp;label_joy&amp;J_sep_num&amp;BT125&amp;j_nxt_num&amp;label_fear&amp;J_sep_num&amp;BU125&amp;j_nxt_num&amp;label_disgust&amp;J_sep_num&amp;BV125&amp;j_nxt_num&amp;label_anger&amp;J_sep_num&amp;BW125&amp;j_sub_cls_num&amp;label_sg&amp;j_sub_opn&amp;label_mood&amp;j_sep&amp;BY125&amp;j_nxt&amp;label_scale&amp;J_sep_num&amp;BZ125&amp;j_end_num)</f>
        <v>{"azure":{"style":"","degree":0,"pause":0,"pitch":0,"rate":-5,"volume":0},"emotion":{"sadness":-1,"joy":-1,"fear":-1,"disgust":-1,"anger":-1},"sgcom":{"mood":"","scale":-1}}</v>
      </c>
      <c r="AOE125" s="28"/>
    </row>
    <row r="126" spans="1:86 1071:1071" s="28" customFormat="1">
      <c r="A126" s="32">
        <f t="shared" si="108"/>
        <v>122</v>
      </c>
      <c r="B126" s="32"/>
      <c r="C126" s="73"/>
      <c r="D126" s="73"/>
      <c r="E126" s="73"/>
      <c r="F126" s="34" t="str">
        <f t="shared" si="153"/>
        <v/>
      </c>
      <c r="G126" s="34" t="str">
        <f t="shared" si="154"/>
        <v/>
      </c>
      <c r="H126" s="116" t="str">
        <f t="shared" si="155"/>
        <v/>
      </c>
      <c r="I126" s="36" t="str">
        <f t="shared" si="101"/>
        <v/>
      </c>
      <c r="J126" s="124"/>
      <c r="K126" s="116" t="str">
        <f t="shared" si="156"/>
        <v/>
      </c>
      <c r="L126" s="124"/>
      <c r="M126" s="136" t="str">
        <f t="shared" si="109"/>
        <v/>
      </c>
      <c r="N126" s="116" t="str">
        <f t="shared" si="157"/>
        <v/>
      </c>
      <c r="O126" s="129" t="str">
        <f t="shared" si="158"/>
        <v/>
      </c>
      <c r="P126" s="73"/>
      <c r="Q126" s="37" t="str">
        <f t="shared" si="159"/>
        <v/>
      </c>
      <c r="R126" s="141"/>
      <c r="S126" s="141" t="str">
        <f t="shared" si="160"/>
        <v/>
      </c>
      <c r="T126" s="137" t="str">
        <f t="shared" si="129"/>
        <v/>
      </c>
      <c r="U126" s="45" t="str">
        <f t="shared" si="161"/>
        <v/>
      </c>
      <c r="V126" s="45" t="str">
        <f t="shared" si="162"/>
        <v/>
      </c>
      <c r="W126" s="45" t="str">
        <f t="shared" si="163"/>
        <v/>
      </c>
      <c r="X126" s="45"/>
      <c r="Y126" s="73" t="str">
        <f t="shared" si="164"/>
        <v/>
      </c>
      <c r="Z126" s="36" t="str">
        <f t="shared" si="116"/>
        <v/>
      </c>
      <c r="AA126" s="73"/>
      <c r="AB126" s="73"/>
      <c r="AC126" s="73" t="str">
        <f t="shared" si="165"/>
        <v/>
      </c>
      <c r="AD126" s="45"/>
      <c r="AE126" s="42"/>
      <c r="AF126" s="45"/>
      <c r="AG126" s="45"/>
      <c r="AH126" s="45"/>
      <c r="AI126" s="45"/>
      <c r="AJ126" s="56" t="str">
        <f t="shared" si="166"/>
        <v/>
      </c>
      <c r="AK126" s="45"/>
      <c r="AL126" s="74"/>
      <c r="AM126" s="133"/>
      <c r="AN126" s="45"/>
      <c r="AO126" s="45"/>
      <c r="AP126" s="45"/>
      <c r="AQ126" s="45"/>
      <c r="AR126" s="45"/>
      <c r="AS126" s="45"/>
      <c r="AT126" s="45"/>
      <c r="AU126" s="45"/>
      <c r="AV126" s="45"/>
      <c r="AW126" s="45"/>
      <c r="AX126" s="45"/>
      <c r="AY126" s="45"/>
      <c r="AZ126" s="45"/>
      <c r="BA126" s="45"/>
      <c r="BB126" s="45"/>
      <c r="BC126" s="74"/>
      <c r="BD126" s="45"/>
      <c r="BE126" s="74"/>
      <c r="BF126" s="74"/>
      <c r="BG126" s="109"/>
      <c r="BH126" s="109"/>
      <c r="BI126" s="111"/>
      <c r="BJ126" s="74"/>
      <c r="BK126" s="74"/>
      <c r="BL126" s="45"/>
      <c r="BM126" s="45"/>
      <c r="BN126" s="45"/>
      <c r="BO126" s="45"/>
      <c r="BP126" s="45"/>
      <c r="BQ126" s="74"/>
      <c r="BR126" s="74"/>
      <c r="BS126" s="45"/>
      <c r="BT126" s="45"/>
      <c r="BU126" s="45"/>
      <c r="BV126" s="45"/>
      <c r="BW126" s="74"/>
      <c r="BX126" s="74"/>
      <c r="BY126" s="45"/>
      <c r="CB126" s="158" t="str">
        <f>IF(Y126&lt;&gt;"x","",j_opn&amp;label_gpt_emo&amp;j_sep&amp;BD126&amp;j_nxt&amp;label_gpt_tone&amp;j_sep&amp;BE126&amp;j_nxt&amp;label_animate&amp;j_sub_opn&amp;label_pre&amp;j_sep&amp;IF(do_anim=FALSE,"",BG126)&amp;j_nxt&amp;label_post&amp;j_sep&amp;IF(do_anim="","",BH126)&amp;j_nxt&amp;label_next_state&amp;j_sep&amp;BI126&amp;J_sub_cls&amp;label_azure&amp;j_sub_opn&amp;label_style&amp;j_sep&amp;BL126&amp;j_nxt&amp;label_degree&amp;J_sep_num&amp;BM126&amp;j_nxt_num&amp;label_pause&amp;J_sep_num&amp;BN126&amp;j_nxt_num&amp;label_pitch&amp;J_sep_num&amp;BO126&amp;j_nxt_num&amp;label_rate&amp;J_sep_num&amp;BP126&amp;j_nxt_num&amp;label_volume&amp;J_sep_num&amp;BQ126&amp;j_sub_cls_num&amp;label_emotion&amp;j_sub_opn&amp;label_sad&amp;J_sep_num&amp;BS126&amp;j_nxt_num&amp;label_joy&amp;J_sep_num&amp;BT126&amp;j_nxt_num&amp;label_fear&amp;J_sep_num&amp;BU126&amp;j_nxt_num&amp;label_disgust&amp;J_sep_num&amp;BV126&amp;j_nxt_num&amp;label_anger&amp;J_sep_num&amp;BW126&amp;j_sub_cls_num&amp;label_sg&amp;j_sub_opn&amp;label_mood&amp;j_sep&amp;BY126&amp;j_nxt&amp;label_scale&amp;J_sep_num&amp;BZ126&amp;j_end_num)</f>
        <v/>
      </c>
    </row>
    <row r="127" spans="1:86 1071:1071" s="27" customFormat="1">
      <c r="A127" s="32">
        <f>A126+1</f>
        <v>123</v>
      </c>
      <c r="B127" s="32"/>
      <c r="C127" s="32" t="s">
        <v>100</v>
      </c>
      <c r="D127" s="32"/>
      <c r="E127" s="34" t="s">
        <v>101</v>
      </c>
      <c r="F127" s="34" t="str">
        <f t="shared" si="153"/>
        <v/>
      </c>
      <c r="G127" s="34" t="str">
        <f t="shared" si="154"/>
        <v>mute</v>
      </c>
      <c r="H127" s="116" t="str">
        <f t="shared" si="155"/>
        <v>{"av-command": "stt-control", "data": {"listening": false}}</v>
      </c>
      <c r="I127" s="36" t="str">
        <f t="shared" si="101"/>
        <v/>
      </c>
      <c r="J127" s="36" t="str">
        <f t="shared" ref="J127" si="180">IFERROR(LOOKUP(I127, table_td_commands),"")</f>
        <v/>
      </c>
      <c r="K127" s="116" t="str">
        <f t="shared" ref="K127" si="181">SUBSTITUTE(SUBSTITUTE(SUBSTITUTE(SUBSTITUTE(SUBSTITUTE(J127,"%id",A127),"%screens",D127),"%data",IF(P127="","{}",P127)),"%mood_num",B127),"%sound_name",AK127)</f>
        <v/>
      </c>
      <c r="L127" s="36"/>
      <c r="M127" s="136" t="str">
        <f t="shared" si="109"/>
        <v>speak</v>
      </c>
      <c r="N127" s="116" t="str">
        <f t="shared" si="157"/>
        <v>{ "command": "speak", "entity": "Eliza", "data" : { "text" : "%text"}}</v>
      </c>
      <c r="O127" s="129" t="str">
        <f t="shared" ref="O127" si="182">SUBSTITUTE(SUBSTITUTE(N127,"%prompt",""&amp;AG127&amp;""),"%text",AF127)</f>
        <v>{ "command": "speak", "entity": "Eliza", "data" : { "text" : "I'm sorry. There seems to be an issue with your therapist! Their brain cells are now rebooting! Please: stand by!!!"}}</v>
      </c>
      <c r="P127" s="37" t="str">
        <f>IF(Y127&lt;&gt;"x","",j_opn&amp;"id"&amp;j_sep&amp;A127 &amp; j_nxt&amp;label_deepfake_name &amp; j_sep &amp; AH127 &amp; j_nxt&amp; "type" &amp; j_sep &amp; label_meat &amp; j_nxt&amp; "channel" &amp;j_sep&amp;Z127&amp;j_nxt&amp;label_role&amp;j_sep&amp;AE127&amp;j_nxt&amp;label_text&amp;j_sep&amp;AF127&amp;j_nxt&amp;label_gpt_emo&amp;j_sep&amp;BD127&amp;j_nxt&amp;label_gpt_tone&amp;j_sep&amp;BE127&amp;j_nxt&amp;label_animate&amp;j_sub_opn&amp;label_pre&amp;j_sep&amp;IF(do_anim=FALSE,"",BG127)&amp;j_nxt&amp;label_post&amp;j_sep&amp;IF(do_anim="","",BH127)&amp;j_nxt&amp;label_next_state&amp;j_sep&amp;BI127&amp;J_sub_cls&amp;label_azure&amp;j_sub_opn&amp;label_style&amp;j_sep&amp;BL127&amp;j_nxt&amp;label_degree&amp;J_sep_num&amp;BM127&amp;j_nxt_num&amp;label_pause&amp;J_sep_num&amp;BN127&amp;j_nxt_num&amp;label_pitch&amp;J_sep_num&amp;BO127&amp;j_nxt_num&amp;label_rate&amp;J_sep_num&amp;BP127&amp;j_nxt_num&amp;label_volume&amp;J_sep_num&amp;BQ127&amp;j_sub_cls_num&amp;label_emotion&amp;j_sub_opn&amp;label_sad&amp;J_sep_num&amp;BS127&amp;j_nxt_num&amp;label_joy&amp;J_sep_num&amp;BT127&amp;j_nxt_num&amp;label_fear&amp;J_sep_num&amp;BU127&amp;j_nxt_num&amp;label_disgust&amp;J_sep_num&amp;BV127&amp;j_nxt_num&amp;label_anger&amp;J_sep_num&amp;BW127&amp;j_sub_cls_num&amp;label_sg&amp;j_sub_opn&amp;label_mood&amp;j_sep&amp;BY127&amp;j_nxt&amp;label_scale&amp;J_sep_num&amp;BZ127&amp;j_end_num)</f>
        <v>{"id":"123","name":"how_have_you_been","type":"meat","channel":"say","role":"clerk","text":"I'm sorry. There seems to be an issue with your therapist! Their brain cells are now rebooting! Please: stand by!!!","gpt_emotion":"","gpt_tone":"","animate":{"pre":"","post":"","next_state":""},"azure":{"style":"Default","degree":0.5,"pause":0,"pitch":0,"rate":0,"volume":0},"emotion":{"sadness":0,"joy":0.5,"fear":0,"disgust":0,"anger":0},"sgcom":{"mood":"positive","scale":0.5}}</v>
      </c>
      <c r="Q127" s="37" t="str">
        <f t="shared" si="159"/>
        <v>{"id":"123","name":"how_have_you_been","type":"meat","channel":"say","role":"clerk","text":"I'm sorry. There seems to be an issue with your therapist! Their brain cells are now rebooting! Please: stand by!!!","gpt_emotion":"","gpt_tone":"","animate":{"pre":"","post":"","next_state":""},"azure":{"style":"Default","degree":0.5,"pause":0,"pitch":0,"rate":0,"volume":0},"emotion":{"sadness":0,"joy":0.5,"fear":0,"disgust":0,"anger":0},"sgcom":{"mood":"positive","scale":0.5}}</v>
      </c>
      <c r="R127" s="141"/>
      <c r="S127" s="148" t="str">
        <f t="shared" ref="S127" si="183">IF(R127&lt;&gt;"", R127, IF(OR(C127="speak",C127="speak_gpt",C127="play"),trigger_mask_spoke,"") &amp; IF(C127="listen",trigger_user_spoke,"") &amp; IF(C127="maketext","mask_generated","") &amp; IF(C127="screen","clone_spoke","") )</f>
        <v>mask_spoke</v>
      </c>
      <c r="T127" s="137" t="str">
        <f t="shared" si="129"/>
        <v>{"words-in" : { "entity" : "Eliza"} }</v>
      </c>
      <c r="U127" s="39"/>
      <c r="V127" s="35" t="str">
        <f>IF(OR(P127="",Y127=""),"",osc_exe_npmosc&amp;" --host "&amp;osc_ip&amp;":"&amp;osc_port_control&amp;" "&amp; osc_channel_meat_stub &amp; "  " &amp; j_qot &amp;X127 &amp; j_qot)</f>
        <v>/opt/homebrew/bin/osc --host 10.10.10.10:5918 /meat  "{#Qid#Q:#Q123#Q#C#Qname#Q:#Qhow_have_you_been#Q#C#Qtype#Q:#Qmeat#Q#C#Qchannel#Q:#Qsay#Q#C#Qrole#Q:#Qclerk#Q#C#Qtext#Q:#QI#Am#Ssorry.#SThere#Sseems#Sto#Sbe#San#Sissue#Swith#Syour#Stherapist!#STheir#Sbrain#Scells#Sare#Snow#Srebooting!#SPlease:#Sstand#Sby!!!#Q#C#Qgpt_emotion#Q:#Q#Q#C#Qgpt_tone#Q:#Q#Q#C#Qanimate#Q:{#Qpre#Q:#Q#Q#C#Qpost#Q:#Q#Q#C#Qnext_state#Q:#Q#Q}#C#Qazure#Q:{#Qstyle#Q:#QDefault#Q#C#Qdegree#Q:0.5#C#Qpause#Q:0#C#Qpitch#Q:0#C#Qrate#Q:0#C#Qvolume#Q:0}#C#Qemotion#Q:{#Qsadness#Q:0#C#Qjoy#Q:0.5#C#Qfear#Q:0#C#Qdisgust#Q:0#C#Qanger#Q:0}#C#Qsgcom#Q:{#Qmood#Q:#Qpositive#Q#C#Qscale#Q:0.5}}"</v>
      </c>
      <c r="W127" s="36" t="str">
        <f t="shared" ref="W127" si="184">IF(OR(P127="",Y127=""),"",osc_exe_sendosc&amp;" "&amp;osc_ip&amp;" "&amp; osc_port_control &amp;" "&amp;Z127&amp;" s "&amp;SUBSTITUTE(SUBSTITUTE(SUBSTITUTE(SUBSTITUTE(SUBSTITUTE(SUBSTITUTE(SUBSTITUTE(P127,"""","\"&amp;"""")," ","\ "),"}","\}"),"?","\?"),"(","\("),")","\)"),"|","\|"))</f>
        <v>/opt/homebrew/bin/sendosc 10.10.10.10 5918 say s {\"id\":\"123\",\"name\":\"how_have_you_been\",\"type\":\"meat\",\"channel\":\"say\",\"role\":\"clerk\",\"text\":\"I'm\ sorry.\ There\ seems\ to\ be\ an\ issue\ with\ your\ therapist!\ Their\ brain\ cells\ are\ now\ rebooting!\ Please:\ stand\ by!!!\",\"gpt_emotion\":\"\",\"gpt_tone\":\"\",\"animate\":{\"pre\":\"\",\"post\":\"\",\"next_state\":\"\"\},\"azure\":{\"style\":\"Default\",\"degree\":0.5,\"pause\":0,\"pitch\":0,\"rate\":0,\"volume\":0\},\"emotion\":{\"sadness\":0,\"joy\":0.5,\"fear\":0,\"disgust\":0,\"anger\":0\},\"sgcom\":{\"mood\":\"positive\",\"scale\":0.5\}\}</v>
      </c>
      <c r="X127" s="36" t="str">
        <f t="shared" ref="X127" si="185">IF(Y127&lt;&gt;"x","",IF(P127="","",SUBSTITUTE(SUBSTITUTE(SUBSTITUTE(SUBSTITUTE(P127,"""","#Q")," ","#S"),",","#C"),"'","#A")))</f>
        <v>{#Qid#Q:#Q123#Q#C#Qname#Q:#Qhow_have_you_been#Q#C#Qtype#Q:#Qmeat#Q#C#Qchannel#Q:#Qsay#Q#C#Qrole#Q:#Qclerk#Q#C#Qtext#Q:#QI#Am#Ssorry.#SThere#Sseems#Sto#Sbe#San#Sissue#Swith#Syour#Stherapist!#STheir#Sbrain#Scells#Sare#Snow#Srebooting!#SPlease:#Sstand#Sby!!!#Q#C#Qgpt_emotion#Q:#Q#Q#C#Qgpt_tone#Q:#Q#Q#C#Qanimate#Q:{#Qpre#Q:#Q#Q#C#Qpost#Q:#Q#Q#C#Qnext_state#Q:#Q#Q}#C#Qazure#Q:{#Qstyle#Q:#QDefault#Q#C#Qdegree#Q:0.5#C#Qpause#Q:0#C#Qpitch#Q:0#C#Qrate#Q:0#C#Qvolume#Q:0}#C#Qemotion#Q:{#Qsadness#Q:0#C#Qjoy#Q:0.5#C#Qfear#Q:0#C#Qdisgust#Q:0#C#Qanger#Q:0}#C#Qsgcom#Q:{#Qmood#Q:#Qpositive#Q#C#Qscale#Q:0.5}}</v>
      </c>
      <c r="Y127" s="40" t="s">
        <v>102</v>
      </c>
      <c r="Z127" s="36" t="str">
        <f t="shared" si="116"/>
        <v>say</v>
      </c>
      <c r="AA127" s="36"/>
      <c r="AB127" s="36" t="str" cm="1">
        <f t="array" ref="AB127">IF(C127="observe",channel_av_observe,"") &amp; IF(C127="register",channel_av_register,"")  &amp; IF(C127="listen",channel_av_listen,"")</f>
        <v/>
      </c>
      <c r="AC127" s="36" t="str">
        <f t="shared" ref="AC127" si="186">IF(C127="mood",channel_td_mood,"") &amp; IF(C127="makefakes_td",channel_td_makefakes,"") &amp; IF(C127="pause",channel_td_pause,"")  &amp; IF(C127="screen",channel_td_screen,"")</f>
        <v/>
      </c>
      <c r="AD127" s="36" t="str">
        <f t="shared" ref="AD127" si="187">IF(C127="maketext",channel_bw_generate,"")</f>
        <v/>
      </c>
      <c r="AE127" s="42" t="s">
        <v>82</v>
      </c>
      <c r="AF127" s="37" t="s">
        <v>565</v>
      </c>
      <c r="AG127" s="37"/>
      <c r="AH127" s="37" t="s">
        <v>105</v>
      </c>
      <c r="AI127" s="37"/>
      <c r="AJ127" s="114">
        <f>A127</f>
        <v>123</v>
      </c>
      <c r="AK127" s="56" t="str">
        <f>IF(AH127="","",TEXT(SUBSTITUTE(AJ127," ","_"),"000") &amp; "_" &amp; AH127)</f>
        <v>123_how_have_you_been</v>
      </c>
      <c r="AL127" s="37"/>
      <c r="AM127" s="133"/>
      <c r="AN127" s="37"/>
      <c r="AO127" s="37"/>
      <c r="AP127" s="37"/>
      <c r="AQ127" s="37"/>
      <c r="AR127" s="37"/>
      <c r="AS127" s="37"/>
      <c r="AT127" s="37"/>
      <c r="AU127" s="37"/>
      <c r="AV127" s="37"/>
      <c r="AW127" s="37"/>
      <c r="AX127" s="37"/>
      <c r="AY127" s="37"/>
      <c r="AZ127" s="37"/>
      <c r="BA127" s="37"/>
      <c r="BB127" s="37"/>
      <c r="BC127" s="41"/>
      <c r="BD127" s="42"/>
      <c r="BE127" s="42"/>
      <c r="BF127" s="41"/>
      <c r="BG127" s="108"/>
      <c r="BH127" s="108"/>
      <c r="BI127" s="108"/>
      <c r="BJ127" s="110"/>
      <c r="BK127" s="41"/>
      <c r="BL127" s="42" t="s">
        <v>106</v>
      </c>
      <c r="BM127" s="35" t="s">
        <v>107</v>
      </c>
      <c r="BN127" s="35">
        <v>0</v>
      </c>
      <c r="BO127" s="35">
        <v>0</v>
      </c>
      <c r="BP127" s="35">
        <v>0</v>
      </c>
      <c r="BQ127" s="35">
        <v>0</v>
      </c>
      <c r="BR127" s="41"/>
      <c r="BS127" s="35">
        <v>0</v>
      </c>
      <c r="BT127" s="35" t="s">
        <v>107</v>
      </c>
      <c r="BU127" s="35">
        <v>0</v>
      </c>
      <c r="BV127" s="35">
        <v>0</v>
      </c>
      <c r="BW127" s="35">
        <v>0</v>
      </c>
      <c r="BX127" s="41"/>
      <c r="BY127" s="34" t="s">
        <v>108</v>
      </c>
      <c r="BZ127" s="43" t="s">
        <v>107</v>
      </c>
      <c r="CA127" s="43" t="s">
        <v>107</v>
      </c>
      <c r="CB127" s="158" t="str">
        <f t="shared" ref="CB127" si="188">IF(Y127&lt;&gt;"x","",j_opn&amp;label_azure&amp;j_sub_opn&amp;label_style&amp;j_sep&amp;BL127&amp;j_nxt&amp;label_degree&amp;J_sep_num&amp;BM127&amp;j_nxt_num&amp;label_pause&amp;J_sep_num&amp;BN127&amp;j_nxt_num&amp;label_pitch&amp;J_sep_num&amp;BO127&amp;j_nxt_num&amp;label_rate&amp;J_sep_num&amp;BP127&amp;j_nxt_num&amp;label_volume&amp;J_sep_num&amp;BQ127&amp;j_sub_cls_num&amp;label_emotion&amp;j_sub_opn&amp;label_sad&amp;J_sep_num&amp;BS127&amp;j_nxt_num&amp;label_joy&amp;J_sep_num&amp;BT127&amp;j_nxt_num&amp;label_fear&amp;J_sep_num&amp;BU127&amp;j_nxt_num&amp;label_disgust&amp;J_sep_num&amp;BV127&amp;j_nxt_num&amp;label_anger&amp;J_sep_num&amp;BW127&amp;j_sub_cls_num&amp;label_sg&amp;j_sub_opn&amp;label_mood&amp;j_sep&amp;BY127&amp;j_nxt&amp;label_scale&amp;J_sep_num&amp;BZ127&amp;j_end_num)</f>
        <v>{"azure":{"style":"Default","degree":0.5,"pause":0,"pitch":0,"rate":0,"volume":0},"emotion":{"sadness":0,"joy":0.5,"fear":0,"disgust":0,"anger":0},"sgcom":{"mood":"positive","scale":0.5}}</v>
      </c>
      <c r="CC127" s="158"/>
      <c r="CD127" s="158"/>
      <c r="CE127" s="158"/>
      <c r="CF127" s="159"/>
      <c r="CG127" s="158"/>
      <c r="CH127" s="158"/>
      <c r="AOE127" s="28"/>
    </row>
    <row r="128" spans="1:86 1071:1071" s="28" customFormat="1">
      <c r="A128" s="32">
        <f t="shared" si="108"/>
        <v>124</v>
      </c>
      <c r="B128" s="32"/>
      <c r="C128" s="73"/>
      <c r="D128" s="73"/>
      <c r="E128" s="73"/>
      <c r="F128" s="34" t="str">
        <f t="shared" si="153"/>
        <v/>
      </c>
      <c r="G128" s="34" t="str">
        <f t="shared" si="154"/>
        <v/>
      </c>
      <c r="H128" s="116" t="str">
        <f t="shared" si="155"/>
        <v/>
      </c>
      <c r="I128" s="36" t="str">
        <f t="shared" si="101"/>
        <v/>
      </c>
      <c r="J128" s="124"/>
      <c r="K128" s="116" t="str">
        <f t="shared" si="156"/>
        <v/>
      </c>
      <c r="L128" s="124"/>
      <c r="M128" s="136" t="str">
        <f t="shared" si="109"/>
        <v/>
      </c>
      <c r="N128" s="116" t="str">
        <f t="shared" si="157"/>
        <v/>
      </c>
      <c r="O128" s="129" t="str">
        <f t="shared" si="158"/>
        <v/>
      </c>
      <c r="P128" s="73"/>
      <c r="Q128" s="37" t="str">
        <f t="shared" si="159"/>
        <v/>
      </c>
      <c r="R128" s="141"/>
      <c r="S128" s="141" t="str">
        <f t="shared" si="160"/>
        <v/>
      </c>
      <c r="T128" s="137" t="str">
        <f t="shared" si="129"/>
        <v/>
      </c>
      <c r="U128" s="45" t="str">
        <f t="shared" si="161"/>
        <v/>
      </c>
      <c r="V128" s="45" t="str">
        <f t="shared" si="162"/>
        <v/>
      </c>
      <c r="W128" s="45" t="str">
        <f t="shared" si="163"/>
        <v/>
      </c>
      <c r="X128" s="45"/>
      <c r="Y128" s="73" t="str">
        <f t="shared" si="164"/>
        <v/>
      </c>
      <c r="Z128" s="36" t="str">
        <f t="shared" si="116"/>
        <v/>
      </c>
      <c r="AA128" s="73"/>
      <c r="AB128" s="73"/>
      <c r="AC128" s="73" t="str">
        <f t="shared" si="165"/>
        <v/>
      </c>
      <c r="AD128" s="45"/>
      <c r="AE128" s="42"/>
      <c r="AF128" s="45"/>
      <c r="AG128" s="45"/>
      <c r="AH128" s="45"/>
      <c r="AI128" s="45"/>
      <c r="AJ128" s="56" t="str">
        <f t="shared" si="166"/>
        <v/>
      </c>
      <c r="AK128" s="45"/>
      <c r="AL128" s="74"/>
      <c r="AM128" s="133"/>
      <c r="AN128" s="45"/>
      <c r="AO128" s="45"/>
      <c r="AP128" s="45"/>
      <c r="AQ128" s="45"/>
      <c r="AR128" s="45"/>
      <c r="AS128" s="45"/>
      <c r="AT128" s="45"/>
      <c r="AU128" s="45"/>
      <c r="AV128" s="45"/>
      <c r="AW128" s="45"/>
      <c r="AX128" s="45"/>
      <c r="AY128" s="45"/>
      <c r="AZ128" s="45"/>
      <c r="BA128" s="45"/>
      <c r="BB128" s="45"/>
      <c r="BC128" s="74"/>
      <c r="BD128" s="45"/>
      <c r="BE128" s="74"/>
      <c r="BF128" s="74"/>
      <c r="BG128" s="109"/>
      <c r="BH128" s="109"/>
      <c r="BI128" s="111"/>
      <c r="BJ128" s="74"/>
      <c r="BK128" s="74"/>
      <c r="BL128" s="45"/>
      <c r="BM128" s="45"/>
      <c r="BN128" s="45"/>
      <c r="BO128" s="45"/>
      <c r="BP128" s="45"/>
      <c r="BQ128" s="74"/>
      <c r="BR128" s="74"/>
      <c r="BS128" s="45"/>
      <c r="BT128" s="45"/>
      <c r="BU128" s="45"/>
      <c r="BV128" s="45"/>
      <c r="BW128" s="74"/>
      <c r="BX128" s="74"/>
      <c r="BY128" s="45"/>
      <c r="CB128" s="158" t="str">
        <f>IF(Y128&lt;&gt;"x","",j_opn&amp;label_gpt_emo&amp;j_sep&amp;BD128&amp;j_nxt&amp;label_gpt_tone&amp;j_sep&amp;BE128&amp;j_nxt&amp;label_animate&amp;j_sub_opn&amp;label_pre&amp;j_sep&amp;IF(do_anim=FALSE,"",BG128)&amp;j_nxt&amp;label_post&amp;j_sep&amp;IF(do_anim="","",BH128)&amp;j_nxt&amp;label_next_state&amp;j_sep&amp;BI128&amp;J_sub_cls&amp;label_azure&amp;j_sub_opn&amp;label_style&amp;j_sep&amp;BL128&amp;j_nxt&amp;label_degree&amp;J_sep_num&amp;BM128&amp;j_nxt_num&amp;label_pause&amp;J_sep_num&amp;BN128&amp;j_nxt_num&amp;label_pitch&amp;J_sep_num&amp;BO128&amp;j_nxt_num&amp;label_rate&amp;J_sep_num&amp;BP128&amp;j_nxt_num&amp;label_volume&amp;J_sep_num&amp;BQ128&amp;j_sub_cls_num&amp;label_emotion&amp;j_sub_opn&amp;label_sad&amp;J_sep_num&amp;BS128&amp;j_nxt_num&amp;label_joy&amp;J_sep_num&amp;BT128&amp;j_nxt_num&amp;label_fear&amp;J_sep_num&amp;BU128&amp;j_nxt_num&amp;label_disgust&amp;J_sep_num&amp;BV128&amp;j_nxt_num&amp;label_anger&amp;J_sep_num&amp;BW128&amp;j_sub_cls_num&amp;label_sg&amp;j_sub_opn&amp;label_mood&amp;j_sep&amp;BY128&amp;j_nxt&amp;label_scale&amp;J_sep_num&amp;BZ128&amp;j_end_num)</f>
        <v/>
      </c>
    </row>
    <row r="129" spans="1:80" s="28" customFormat="1">
      <c r="A129" s="32">
        <f t="shared" si="108"/>
        <v>125</v>
      </c>
      <c r="B129" s="32"/>
      <c r="C129" s="73"/>
      <c r="D129" s="73"/>
      <c r="E129" s="73"/>
      <c r="F129" s="34" t="str">
        <f t="shared" si="153"/>
        <v/>
      </c>
      <c r="G129" s="34" t="str">
        <f t="shared" si="154"/>
        <v/>
      </c>
      <c r="H129" s="116" t="str">
        <f t="shared" si="155"/>
        <v/>
      </c>
      <c r="I129" s="36" t="str">
        <f t="shared" si="101"/>
        <v/>
      </c>
      <c r="J129" s="124"/>
      <c r="K129" s="116" t="str">
        <f t="shared" si="156"/>
        <v/>
      </c>
      <c r="L129" s="124"/>
      <c r="M129" s="136" t="str">
        <f t="shared" si="109"/>
        <v/>
      </c>
      <c r="N129" s="116" t="str">
        <f t="shared" si="157"/>
        <v/>
      </c>
      <c r="O129" s="129" t="str">
        <f t="shared" si="158"/>
        <v/>
      </c>
      <c r="P129" s="73"/>
      <c r="Q129" s="37" t="str">
        <f t="shared" si="159"/>
        <v/>
      </c>
      <c r="R129" s="141"/>
      <c r="S129" s="141" t="str">
        <f t="shared" si="160"/>
        <v/>
      </c>
      <c r="T129" s="137" t="str">
        <f t="shared" si="129"/>
        <v/>
      </c>
      <c r="U129" s="45" t="str">
        <f t="shared" si="161"/>
        <v/>
      </c>
      <c r="V129" s="45" t="str">
        <f t="shared" si="162"/>
        <v/>
      </c>
      <c r="W129" s="45" t="str">
        <f t="shared" si="163"/>
        <v/>
      </c>
      <c r="X129" s="45"/>
      <c r="Y129" s="73" t="str">
        <f t="shared" si="164"/>
        <v/>
      </c>
      <c r="Z129" s="36" t="str">
        <f t="shared" si="116"/>
        <v/>
      </c>
      <c r="AA129" s="73"/>
      <c r="AB129" s="73"/>
      <c r="AC129" s="73" t="str">
        <f t="shared" si="165"/>
        <v/>
      </c>
      <c r="AD129" s="45"/>
      <c r="AE129" s="42"/>
      <c r="AF129" s="45"/>
      <c r="AG129" s="45"/>
      <c r="AH129" s="45"/>
      <c r="AI129" s="45"/>
      <c r="AJ129" s="56" t="str">
        <f t="shared" si="166"/>
        <v/>
      </c>
      <c r="AK129" s="45"/>
      <c r="AL129" s="74"/>
      <c r="AM129" s="133"/>
      <c r="AN129" s="45"/>
      <c r="AO129" s="45"/>
      <c r="AP129" s="45"/>
      <c r="AQ129" s="45"/>
      <c r="AR129" s="45"/>
      <c r="AS129" s="45"/>
      <c r="AT129" s="45"/>
      <c r="AU129" s="45"/>
      <c r="AV129" s="45"/>
      <c r="AW129" s="45"/>
      <c r="AX129" s="45"/>
      <c r="AY129" s="45"/>
      <c r="AZ129" s="45"/>
      <c r="BA129" s="45"/>
      <c r="BB129" s="45"/>
      <c r="BC129" s="74"/>
      <c r="BD129" s="45"/>
      <c r="BE129" s="74"/>
      <c r="BF129" s="74"/>
      <c r="BG129" s="109"/>
      <c r="BH129" s="109"/>
      <c r="BI129" s="111"/>
      <c r="BJ129" s="74"/>
      <c r="BK129" s="74"/>
      <c r="BL129" s="45"/>
      <c r="BM129" s="45"/>
      <c r="BN129" s="45"/>
      <c r="BO129" s="45"/>
      <c r="BP129" s="45"/>
      <c r="BQ129" s="74"/>
      <c r="BR129" s="74"/>
      <c r="BS129" s="45"/>
      <c r="BT129" s="45"/>
      <c r="BU129" s="45"/>
      <c r="BV129" s="45"/>
      <c r="BW129" s="74"/>
      <c r="BX129" s="74"/>
      <c r="BY129" s="45"/>
      <c r="CB129" s="158" t="str">
        <f t="shared" ref="CB129:CB134" si="189">IF(Y129&lt;&gt;"x","",j_opn&amp;label_gpt_emo&amp;j_sep&amp;BD129&amp;j_nxt&amp;label_gpt_tone&amp;j_sep&amp;BE129&amp;j_nxt&amp;label_animate&amp;j_sub_opn&amp;label_pre&amp;j_sep&amp;IF(do_anim=FALSE,"",BG129)&amp;j_nxt&amp;label_post&amp;j_sep&amp;IF(do_anim="","",BH129)&amp;j_nxt&amp;label_next_state&amp;j_sep&amp;BI129&amp;J_sub_cls&amp;label_azure&amp;j_sub_opn&amp;label_style&amp;j_sep&amp;BL129&amp;j_nxt&amp;label_degree&amp;J_sep_num&amp;BM129&amp;j_nxt_num&amp;label_pause&amp;J_sep_num&amp;BN129&amp;j_nxt_num&amp;label_pitch&amp;J_sep_num&amp;BO129&amp;j_nxt_num&amp;label_rate&amp;J_sep_num&amp;BP129&amp;j_nxt_num&amp;label_volume&amp;J_sep_num&amp;BQ129&amp;j_sub_cls_num&amp;label_emotion&amp;j_sub_opn&amp;label_sad&amp;J_sep_num&amp;BS129&amp;j_nxt_num&amp;label_joy&amp;J_sep_num&amp;BT129&amp;j_nxt_num&amp;label_fear&amp;J_sep_num&amp;BU129&amp;j_nxt_num&amp;label_disgust&amp;J_sep_num&amp;BV129&amp;j_nxt_num&amp;label_anger&amp;J_sep_num&amp;BW129&amp;j_sub_cls_num&amp;label_sg&amp;j_sub_opn&amp;label_mood&amp;j_sep&amp;BY129&amp;j_nxt&amp;label_scale&amp;J_sep_num&amp;BZ129&amp;j_end_num)</f>
        <v/>
      </c>
    </row>
    <row r="130" spans="1:80" s="28" customFormat="1">
      <c r="A130" s="32">
        <f t="shared" si="108"/>
        <v>126</v>
      </c>
      <c r="B130" s="32"/>
      <c r="C130" s="73"/>
      <c r="D130" s="73"/>
      <c r="E130" s="73"/>
      <c r="F130" s="34" t="str">
        <f t="shared" si="153"/>
        <v/>
      </c>
      <c r="G130" s="34" t="str">
        <f t="shared" si="154"/>
        <v/>
      </c>
      <c r="H130" s="116" t="str">
        <f t="shared" si="155"/>
        <v/>
      </c>
      <c r="I130" s="36" t="str">
        <f t="shared" si="101"/>
        <v/>
      </c>
      <c r="J130" s="124"/>
      <c r="K130" s="116" t="str">
        <f t="shared" si="156"/>
        <v/>
      </c>
      <c r="L130" s="124"/>
      <c r="M130" s="136" t="str">
        <f t="shared" si="109"/>
        <v/>
      </c>
      <c r="N130" s="116" t="str">
        <f t="shared" si="157"/>
        <v/>
      </c>
      <c r="O130" s="129" t="str">
        <f t="shared" si="158"/>
        <v/>
      </c>
      <c r="P130" s="73"/>
      <c r="Q130" s="37" t="str">
        <f t="shared" si="159"/>
        <v/>
      </c>
      <c r="R130" s="141"/>
      <c r="S130" s="141" t="str">
        <f t="shared" si="160"/>
        <v/>
      </c>
      <c r="T130" s="137" t="str">
        <f t="shared" si="129"/>
        <v/>
      </c>
      <c r="U130" s="45" t="str">
        <f t="shared" si="161"/>
        <v/>
      </c>
      <c r="V130" s="45" t="str">
        <f t="shared" si="162"/>
        <v/>
      </c>
      <c r="W130" s="45" t="str">
        <f t="shared" si="163"/>
        <v/>
      </c>
      <c r="X130" s="45"/>
      <c r="Y130" s="73" t="str">
        <f t="shared" si="164"/>
        <v/>
      </c>
      <c r="Z130" s="36" t="str">
        <f t="shared" si="116"/>
        <v/>
      </c>
      <c r="AA130" s="73"/>
      <c r="AB130" s="73"/>
      <c r="AC130" s="73" t="str">
        <f t="shared" si="165"/>
        <v/>
      </c>
      <c r="AD130" s="45"/>
      <c r="AE130" s="42"/>
      <c r="AF130" s="45"/>
      <c r="AG130" s="45"/>
      <c r="AH130" s="45"/>
      <c r="AI130" s="45"/>
      <c r="AJ130" s="56" t="str">
        <f t="shared" si="166"/>
        <v/>
      </c>
      <c r="AK130" s="45"/>
      <c r="AL130" s="74"/>
      <c r="AM130" s="133"/>
      <c r="AN130" s="45"/>
      <c r="AO130" s="45"/>
      <c r="AP130" s="45"/>
      <c r="AQ130" s="45"/>
      <c r="AR130" s="45"/>
      <c r="AS130" s="45"/>
      <c r="AT130" s="45"/>
      <c r="AU130" s="45"/>
      <c r="AV130" s="45"/>
      <c r="AW130" s="45"/>
      <c r="AX130" s="45"/>
      <c r="AY130" s="45"/>
      <c r="AZ130" s="45"/>
      <c r="BA130" s="45"/>
      <c r="BB130" s="45"/>
      <c r="BC130" s="74"/>
      <c r="BD130" s="45"/>
      <c r="BE130" s="74"/>
      <c r="BF130" s="74"/>
      <c r="BG130" s="109"/>
      <c r="BH130" s="109"/>
      <c r="BI130" s="111"/>
      <c r="BJ130" s="74"/>
      <c r="BK130" s="74"/>
      <c r="BL130" s="45"/>
      <c r="BM130" s="45"/>
      <c r="BN130" s="45"/>
      <c r="BO130" s="45"/>
      <c r="BP130" s="45"/>
      <c r="BQ130" s="74"/>
      <c r="BR130" s="74"/>
      <c r="BS130" s="45"/>
      <c r="BT130" s="45"/>
      <c r="BU130" s="45"/>
      <c r="BV130" s="45"/>
      <c r="BW130" s="74"/>
      <c r="BX130" s="74"/>
      <c r="BY130" s="45"/>
      <c r="CB130" s="158" t="str">
        <f t="shared" si="189"/>
        <v/>
      </c>
    </row>
    <row r="131" spans="1:80" s="28" customFormat="1">
      <c r="A131" s="32">
        <f t="shared" si="108"/>
        <v>127</v>
      </c>
      <c r="B131" s="32"/>
      <c r="C131" s="73"/>
      <c r="D131" s="73"/>
      <c r="E131" s="73"/>
      <c r="F131" s="34" t="str">
        <f t="shared" si="153"/>
        <v/>
      </c>
      <c r="G131" s="34" t="str">
        <f t="shared" si="154"/>
        <v/>
      </c>
      <c r="H131" s="116" t="str">
        <f t="shared" si="155"/>
        <v/>
      </c>
      <c r="I131" s="36" t="str">
        <f t="shared" si="101"/>
        <v/>
      </c>
      <c r="J131" s="124"/>
      <c r="K131" s="116" t="str">
        <f t="shared" si="156"/>
        <v/>
      </c>
      <c r="L131" s="124"/>
      <c r="M131" s="136" t="str">
        <f t="shared" si="109"/>
        <v/>
      </c>
      <c r="N131" s="116" t="str">
        <f t="shared" si="157"/>
        <v/>
      </c>
      <c r="O131" s="129" t="str">
        <f t="shared" si="158"/>
        <v/>
      </c>
      <c r="P131" s="73"/>
      <c r="Q131" s="37" t="str">
        <f t="shared" si="159"/>
        <v/>
      </c>
      <c r="R131" s="141"/>
      <c r="S131" s="141" t="str">
        <f t="shared" si="160"/>
        <v/>
      </c>
      <c r="T131" s="137" t="str">
        <f t="shared" si="129"/>
        <v/>
      </c>
      <c r="U131" s="45" t="str">
        <f t="shared" si="161"/>
        <v/>
      </c>
      <c r="V131" s="45" t="str">
        <f t="shared" si="162"/>
        <v/>
      </c>
      <c r="W131" s="45" t="str">
        <f t="shared" si="163"/>
        <v/>
      </c>
      <c r="X131" s="45"/>
      <c r="Y131" s="73" t="str">
        <f t="shared" si="164"/>
        <v/>
      </c>
      <c r="Z131" s="36" t="str">
        <f t="shared" si="116"/>
        <v/>
      </c>
      <c r="AA131" s="73"/>
      <c r="AB131" s="73"/>
      <c r="AC131" s="73" t="str">
        <f t="shared" si="165"/>
        <v/>
      </c>
      <c r="AD131" s="45"/>
      <c r="AE131" s="42"/>
      <c r="AF131" s="45"/>
      <c r="AG131" s="45"/>
      <c r="AH131" s="45"/>
      <c r="AI131" s="45"/>
      <c r="AJ131" s="56" t="str">
        <f t="shared" si="166"/>
        <v/>
      </c>
      <c r="AK131" s="45"/>
      <c r="AL131" s="74"/>
      <c r="AM131" s="133"/>
      <c r="AN131" s="45"/>
      <c r="AO131" s="45"/>
      <c r="AP131" s="45"/>
      <c r="AQ131" s="45"/>
      <c r="AR131" s="45"/>
      <c r="AS131" s="45"/>
      <c r="AT131" s="45"/>
      <c r="AU131" s="45"/>
      <c r="AV131" s="45"/>
      <c r="AW131" s="45"/>
      <c r="AX131" s="45"/>
      <c r="AY131" s="45"/>
      <c r="AZ131" s="45"/>
      <c r="BA131" s="45"/>
      <c r="BB131" s="45"/>
      <c r="BC131" s="74"/>
      <c r="BD131" s="45"/>
      <c r="BE131" s="74"/>
      <c r="BF131" s="74"/>
      <c r="BG131" s="109"/>
      <c r="BH131" s="109"/>
      <c r="BI131" s="111"/>
      <c r="BJ131" s="74"/>
      <c r="BK131" s="74"/>
      <c r="BL131" s="45"/>
      <c r="BM131" s="45"/>
      <c r="BN131" s="45"/>
      <c r="BO131" s="45"/>
      <c r="BP131" s="45"/>
      <c r="BQ131" s="74"/>
      <c r="BR131" s="74"/>
      <c r="BS131" s="45"/>
      <c r="BT131" s="45"/>
      <c r="BU131" s="45"/>
      <c r="BV131" s="45"/>
      <c r="BW131" s="74"/>
      <c r="BX131" s="74"/>
      <c r="BY131" s="45"/>
      <c r="CB131" s="158" t="str">
        <f t="shared" si="189"/>
        <v/>
      </c>
    </row>
    <row r="132" spans="1:80" s="28" customFormat="1">
      <c r="A132" s="32">
        <f t="shared" si="108"/>
        <v>128</v>
      </c>
      <c r="B132" s="32"/>
      <c r="C132" s="73"/>
      <c r="D132" s="73"/>
      <c r="E132" s="73"/>
      <c r="F132" s="34" t="str">
        <f t="shared" si="153"/>
        <v/>
      </c>
      <c r="G132" s="34" t="str">
        <f t="shared" si="154"/>
        <v/>
      </c>
      <c r="H132" s="116" t="str">
        <f t="shared" si="155"/>
        <v/>
      </c>
      <c r="I132" s="36" t="str">
        <f t="shared" si="101"/>
        <v/>
      </c>
      <c r="J132" s="124"/>
      <c r="K132" s="116" t="str">
        <f t="shared" si="156"/>
        <v/>
      </c>
      <c r="L132" s="124"/>
      <c r="M132" s="136" t="str">
        <f t="shared" si="109"/>
        <v/>
      </c>
      <c r="N132" s="116" t="str">
        <f t="shared" si="157"/>
        <v/>
      </c>
      <c r="O132" s="129" t="str">
        <f t="shared" si="158"/>
        <v/>
      </c>
      <c r="P132" s="73"/>
      <c r="Q132" s="37" t="str">
        <f t="shared" si="159"/>
        <v/>
      </c>
      <c r="R132" s="141"/>
      <c r="S132" s="141" t="str">
        <f t="shared" si="160"/>
        <v/>
      </c>
      <c r="T132" s="137" t="str">
        <f t="shared" si="129"/>
        <v/>
      </c>
      <c r="U132" s="45" t="str">
        <f t="shared" si="161"/>
        <v/>
      </c>
      <c r="V132" s="45" t="str">
        <f t="shared" si="162"/>
        <v/>
      </c>
      <c r="W132" s="45" t="str">
        <f t="shared" si="163"/>
        <v/>
      </c>
      <c r="X132" s="45"/>
      <c r="Y132" s="73" t="str">
        <f t="shared" si="164"/>
        <v/>
      </c>
      <c r="Z132" s="36" t="str">
        <f t="shared" ref="Z132:Z141" si="190">IF(Y132&lt;&gt;"x","",IF(OR(C132="speak",C132="speak_gpt",C132="screen_azurevoice"),osc_channel_meat_say,IF(C132="play",osc_channel_meat_play,IF(C132="faketomask",osc_channel_meat_fake,IF(C132="state",osc_channel_meat_state,"")))))</f>
        <v/>
      </c>
      <c r="AA132" s="73"/>
      <c r="AB132" s="73"/>
      <c r="AC132" s="73" t="str">
        <f t="shared" si="165"/>
        <v/>
      </c>
      <c r="AD132" s="45"/>
      <c r="AE132" s="42"/>
      <c r="AF132" s="45"/>
      <c r="AG132" s="45"/>
      <c r="AH132" s="45"/>
      <c r="AI132" s="45"/>
      <c r="AJ132" s="56" t="str">
        <f t="shared" si="166"/>
        <v/>
      </c>
      <c r="AK132" s="45"/>
      <c r="AL132" s="74"/>
      <c r="AM132" s="133"/>
      <c r="AN132" s="45"/>
      <c r="AO132" s="45"/>
      <c r="AP132" s="45"/>
      <c r="AQ132" s="45"/>
      <c r="AR132" s="45"/>
      <c r="AS132" s="45"/>
      <c r="AT132" s="45"/>
      <c r="AU132" s="45"/>
      <c r="AV132" s="45"/>
      <c r="AW132" s="45"/>
      <c r="AX132" s="45"/>
      <c r="AY132" s="45"/>
      <c r="AZ132" s="45"/>
      <c r="BA132" s="45"/>
      <c r="BB132" s="45"/>
      <c r="BC132" s="74"/>
      <c r="BD132" s="45"/>
      <c r="BE132" s="74"/>
      <c r="BF132" s="74"/>
      <c r="BG132" s="109"/>
      <c r="BH132" s="109"/>
      <c r="BI132" s="111"/>
      <c r="BJ132" s="74"/>
      <c r="BK132" s="74"/>
      <c r="BL132" s="45"/>
      <c r="BM132" s="45"/>
      <c r="BN132" s="45"/>
      <c r="BO132" s="45"/>
      <c r="BP132" s="45"/>
      <c r="BQ132" s="74"/>
      <c r="BR132" s="74"/>
      <c r="BS132" s="45"/>
      <c r="BT132" s="45"/>
      <c r="BU132" s="45"/>
      <c r="BV132" s="45"/>
      <c r="BW132" s="74"/>
      <c r="BX132" s="74"/>
      <c r="BY132" s="45"/>
      <c r="CB132" s="158" t="str">
        <f t="shared" si="189"/>
        <v/>
      </c>
    </row>
    <row r="133" spans="1:80" s="28" customFormat="1">
      <c r="A133" s="32">
        <f t="shared" si="108"/>
        <v>129</v>
      </c>
      <c r="B133" s="32"/>
      <c r="C133" s="73"/>
      <c r="D133" s="73"/>
      <c r="E133" s="73"/>
      <c r="F133" s="34" t="str">
        <f t="shared" si="153"/>
        <v/>
      </c>
      <c r="G133" s="34" t="str">
        <f t="shared" si="154"/>
        <v/>
      </c>
      <c r="H133" s="116" t="str">
        <f t="shared" si="155"/>
        <v/>
      </c>
      <c r="I133" s="36" t="str">
        <f t="shared" si="101"/>
        <v/>
      </c>
      <c r="J133" s="124"/>
      <c r="K133" s="116" t="str">
        <f t="shared" si="156"/>
        <v/>
      </c>
      <c r="L133" s="124"/>
      <c r="M133" s="136" t="str">
        <f t="shared" si="109"/>
        <v/>
      </c>
      <c r="N133" s="116" t="str">
        <f t="shared" si="157"/>
        <v/>
      </c>
      <c r="O133" s="129" t="str">
        <f t="shared" si="158"/>
        <v/>
      </c>
      <c r="P133" s="73"/>
      <c r="Q133" s="37" t="str">
        <f t="shared" si="159"/>
        <v/>
      </c>
      <c r="R133" s="141"/>
      <c r="S133" s="141" t="str">
        <f t="shared" si="160"/>
        <v/>
      </c>
      <c r="T133" s="137" t="str">
        <f t="shared" si="129"/>
        <v/>
      </c>
      <c r="U133" s="45" t="str">
        <f t="shared" si="161"/>
        <v/>
      </c>
      <c r="V133" s="45" t="str">
        <f t="shared" si="162"/>
        <v/>
      </c>
      <c r="W133" s="45" t="str">
        <f t="shared" si="163"/>
        <v/>
      </c>
      <c r="X133" s="45"/>
      <c r="Y133" s="73" t="str">
        <f t="shared" si="164"/>
        <v/>
      </c>
      <c r="Z133" s="36" t="str">
        <f t="shared" si="190"/>
        <v/>
      </c>
      <c r="AA133" s="73"/>
      <c r="AB133" s="73"/>
      <c r="AC133" s="73" t="str">
        <f t="shared" si="165"/>
        <v/>
      </c>
      <c r="AD133" s="45"/>
      <c r="AE133" s="42"/>
      <c r="AF133" s="45"/>
      <c r="AG133" s="45"/>
      <c r="AH133" s="45"/>
      <c r="AI133" s="45"/>
      <c r="AJ133" s="56" t="str">
        <f t="shared" si="166"/>
        <v/>
      </c>
      <c r="AK133" s="45"/>
      <c r="AL133" s="74"/>
      <c r="AM133" s="133"/>
      <c r="AN133" s="45"/>
      <c r="AO133" s="45"/>
      <c r="AP133" s="45"/>
      <c r="AQ133" s="45"/>
      <c r="AR133" s="45"/>
      <c r="AS133" s="45"/>
      <c r="AT133" s="45"/>
      <c r="AU133" s="45"/>
      <c r="AV133" s="45"/>
      <c r="AW133" s="45"/>
      <c r="AX133" s="45"/>
      <c r="AY133" s="45"/>
      <c r="AZ133" s="45"/>
      <c r="BA133" s="45"/>
      <c r="BB133" s="45"/>
      <c r="BC133" s="74"/>
      <c r="BD133" s="45"/>
      <c r="BE133" s="74"/>
      <c r="BF133" s="74"/>
      <c r="BG133" s="109"/>
      <c r="BH133" s="109"/>
      <c r="BI133" s="111"/>
      <c r="BJ133" s="74"/>
      <c r="BK133" s="74"/>
      <c r="BL133" s="45"/>
      <c r="BM133" s="45"/>
      <c r="BN133" s="45"/>
      <c r="BO133" s="45"/>
      <c r="BP133" s="45"/>
      <c r="BQ133" s="74"/>
      <c r="BR133" s="74"/>
      <c r="BS133" s="45"/>
      <c r="BT133" s="45"/>
      <c r="BU133" s="45"/>
      <c r="BV133" s="45"/>
      <c r="BW133" s="74"/>
      <c r="BX133" s="74"/>
      <c r="BY133" s="45"/>
      <c r="CB133" s="158" t="str">
        <f t="shared" si="189"/>
        <v/>
      </c>
    </row>
    <row r="134" spans="1:80" s="28" customFormat="1">
      <c r="A134" s="32">
        <f t="shared" si="108"/>
        <v>130</v>
      </c>
      <c r="B134" s="32"/>
      <c r="C134" s="73"/>
      <c r="D134" s="73"/>
      <c r="E134" s="73"/>
      <c r="F134" s="34" t="str">
        <f t="shared" si="153"/>
        <v/>
      </c>
      <c r="G134" s="34" t="str">
        <f t="shared" si="154"/>
        <v/>
      </c>
      <c r="H134" s="116" t="str">
        <f t="shared" si="155"/>
        <v/>
      </c>
      <c r="I134" s="36" t="str">
        <f t="shared" si="101"/>
        <v/>
      </c>
      <c r="J134" s="124"/>
      <c r="K134" s="116" t="str">
        <f t="shared" si="156"/>
        <v/>
      </c>
      <c r="L134" s="124"/>
      <c r="M134" s="136" t="str">
        <f t="shared" si="109"/>
        <v/>
      </c>
      <c r="N134" s="116" t="str">
        <f t="shared" si="157"/>
        <v/>
      </c>
      <c r="O134" s="129" t="str">
        <f t="shared" si="158"/>
        <v/>
      </c>
      <c r="P134" s="73"/>
      <c r="Q134" s="37" t="str">
        <f t="shared" si="159"/>
        <v/>
      </c>
      <c r="R134" s="141"/>
      <c r="S134" s="141" t="str">
        <f t="shared" si="160"/>
        <v/>
      </c>
      <c r="T134" s="137" t="str">
        <f t="shared" si="129"/>
        <v/>
      </c>
      <c r="U134" s="45" t="str">
        <f t="shared" si="161"/>
        <v/>
      </c>
      <c r="V134" s="45" t="str">
        <f t="shared" si="162"/>
        <v/>
      </c>
      <c r="W134" s="45" t="str">
        <f t="shared" si="163"/>
        <v/>
      </c>
      <c r="X134" s="45"/>
      <c r="Y134" s="73" t="str">
        <f t="shared" si="164"/>
        <v/>
      </c>
      <c r="Z134" s="36" t="str">
        <f t="shared" si="190"/>
        <v/>
      </c>
      <c r="AA134" s="73"/>
      <c r="AB134" s="73"/>
      <c r="AC134" s="73" t="str">
        <f t="shared" si="165"/>
        <v/>
      </c>
      <c r="AD134" s="45"/>
      <c r="AE134" s="42"/>
      <c r="AF134" s="45"/>
      <c r="AG134" s="45"/>
      <c r="AH134" s="45"/>
      <c r="AI134" s="45"/>
      <c r="AJ134" s="56" t="str">
        <f t="shared" si="166"/>
        <v/>
      </c>
      <c r="AK134" s="45"/>
      <c r="AL134" s="74"/>
      <c r="AM134" s="133"/>
      <c r="AN134" s="45"/>
      <c r="AO134" s="45"/>
      <c r="AP134" s="45"/>
      <c r="AQ134" s="45"/>
      <c r="AR134" s="45"/>
      <c r="AS134" s="45"/>
      <c r="AT134" s="45"/>
      <c r="AU134" s="45"/>
      <c r="AV134" s="45"/>
      <c r="AW134" s="45"/>
      <c r="AX134" s="45"/>
      <c r="AY134" s="45"/>
      <c r="AZ134" s="45"/>
      <c r="BA134" s="45"/>
      <c r="BB134" s="45"/>
      <c r="BC134" s="74"/>
      <c r="BD134" s="45"/>
      <c r="BE134" s="74"/>
      <c r="BF134" s="74"/>
      <c r="BG134" s="109"/>
      <c r="BH134" s="109"/>
      <c r="BI134" s="111"/>
      <c r="BJ134" s="74"/>
      <c r="BK134" s="74"/>
      <c r="BL134" s="45"/>
      <c r="BM134" s="45"/>
      <c r="BN134" s="45"/>
      <c r="BO134" s="45"/>
      <c r="BP134" s="45"/>
      <c r="BQ134" s="74"/>
      <c r="BR134" s="74"/>
      <c r="BS134" s="45"/>
      <c r="BT134" s="45"/>
      <c r="BU134" s="45"/>
      <c r="BV134" s="45"/>
      <c r="BW134" s="74"/>
      <c r="BX134" s="74"/>
      <c r="BY134" s="45"/>
      <c r="CB134" s="158" t="str">
        <f t="shared" si="189"/>
        <v/>
      </c>
    </row>
    <row r="135" spans="1:80" s="28" customFormat="1">
      <c r="A135" s="32">
        <f t="shared" si="108"/>
        <v>131</v>
      </c>
      <c r="B135" s="32"/>
      <c r="C135" s="73"/>
      <c r="D135" s="73"/>
      <c r="E135" s="73"/>
      <c r="F135" s="34" t="str">
        <f t="shared" si="153"/>
        <v/>
      </c>
      <c r="G135" s="34" t="str">
        <f t="shared" ref="G135:G141" si="191">IF(F135&lt;&gt;"",F135, IF(C135="listen","unmute","") &amp; IF(OR(C135="speak",C135="maketext",C135="play",C135="screen"),"mute","") )</f>
        <v/>
      </c>
      <c r="H135" s="116" t="str">
        <f t="shared" si="155"/>
        <v/>
      </c>
      <c r="I135" s="36" t="str">
        <f t="shared" si="101"/>
        <v/>
      </c>
      <c r="J135" s="124"/>
      <c r="K135" s="116" t="str">
        <f t="shared" si="156"/>
        <v/>
      </c>
      <c r="L135" s="124"/>
      <c r="M135" s="136" t="str">
        <f t="shared" si="109"/>
        <v/>
      </c>
      <c r="N135" s="116" t="str">
        <f t="shared" si="157"/>
        <v/>
      </c>
      <c r="O135" s="129" t="str">
        <f t="shared" si="158"/>
        <v/>
      </c>
      <c r="P135" s="73"/>
      <c r="Q135" s="37" t="str">
        <f t="shared" si="159"/>
        <v/>
      </c>
      <c r="R135" s="141"/>
      <c r="S135" s="141" t="str">
        <f t="shared" si="160"/>
        <v/>
      </c>
      <c r="T135" s="137" t="str">
        <f t="shared" ref="T135:T141" si="192">IFERROR(LOOKUP(S135,table_triggers),S135)</f>
        <v/>
      </c>
      <c r="U135" s="45" t="str">
        <f t="shared" si="161"/>
        <v/>
      </c>
      <c r="V135" s="45" t="str">
        <f t="shared" si="162"/>
        <v/>
      </c>
      <c r="W135" s="45" t="str">
        <f t="shared" si="163"/>
        <v/>
      </c>
      <c r="X135" s="45"/>
      <c r="Y135" s="73" t="str">
        <f t="shared" si="164"/>
        <v/>
      </c>
      <c r="Z135" s="36" t="str">
        <f t="shared" si="190"/>
        <v/>
      </c>
      <c r="AA135" s="73"/>
      <c r="AB135" s="73"/>
      <c r="AC135" s="73" t="str">
        <f t="shared" si="165"/>
        <v/>
      </c>
      <c r="AD135" s="45"/>
      <c r="AE135" s="42"/>
      <c r="AF135" s="45"/>
      <c r="AG135" s="45"/>
      <c r="AH135" s="45"/>
      <c r="AI135" s="45"/>
      <c r="AJ135" s="56" t="str">
        <f t="shared" si="166"/>
        <v/>
      </c>
      <c r="AK135" s="45"/>
      <c r="AL135" s="74"/>
      <c r="AM135" s="133"/>
      <c r="AN135" s="45"/>
      <c r="AO135" s="45"/>
      <c r="AP135" s="45"/>
      <c r="AQ135" s="45"/>
      <c r="AR135" s="45"/>
      <c r="AS135" s="45"/>
      <c r="AT135" s="45"/>
      <c r="AU135" s="45"/>
      <c r="AV135" s="45"/>
      <c r="AW135" s="45"/>
      <c r="AX135" s="45"/>
      <c r="AY135" s="45"/>
      <c r="AZ135" s="45"/>
      <c r="BA135" s="45"/>
      <c r="BB135" s="45"/>
      <c r="BC135" s="74"/>
      <c r="BD135" s="45"/>
      <c r="BE135" s="74"/>
      <c r="BF135" s="74"/>
      <c r="BG135" s="109"/>
      <c r="BH135" s="109"/>
      <c r="BI135" s="111"/>
      <c r="BJ135" s="74"/>
      <c r="BK135" s="74"/>
      <c r="BL135" s="45"/>
      <c r="BM135" s="45"/>
      <c r="BN135" s="45"/>
      <c r="BO135" s="45"/>
      <c r="BP135" s="45"/>
      <c r="BQ135" s="74"/>
      <c r="BR135" s="74"/>
      <c r="BS135" s="45"/>
      <c r="BT135" s="45"/>
      <c r="BU135" s="45"/>
      <c r="BV135" s="45"/>
      <c r="BW135" s="74"/>
      <c r="BX135" s="74"/>
      <c r="BY135" s="45"/>
    </row>
    <row r="136" spans="1:80" s="28" customFormat="1">
      <c r="A136" s="32">
        <f t="shared" si="108"/>
        <v>132</v>
      </c>
      <c r="B136" s="32"/>
      <c r="C136" s="73"/>
      <c r="D136" s="73"/>
      <c r="E136" s="73"/>
      <c r="F136" s="34" t="str">
        <f t="shared" si="153"/>
        <v/>
      </c>
      <c r="G136" s="34" t="str">
        <f t="shared" si="191"/>
        <v/>
      </c>
      <c r="H136" s="116" t="str">
        <f t="shared" si="155"/>
        <v/>
      </c>
      <c r="I136" s="36" t="str">
        <f t="shared" si="101"/>
        <v/>
      </c>
      <c r="J136" s="124"/>
      <c r="K136" s="116" t="str">
        <f t="shared" si="156"/>
        <v/>
      </c>
      <c r="L136" s="124"/>
      <c r="M136" s="136" t="str">
        <f t="shared" si="109"/>
        <v/>
      </c>
      <c r="N136" s="116" t="str">
        <f t="shared" si="157"/>
        <v/>
      </c>
      <c r="O136" s="129" t="str">
        <f t="shared" si="158"/>
        <v/>
      </c>
      <c r="P136" s="73"/>
      <c r="Q136" s="37" t="str">
        <f t="shared" si="159"/>
        <v/>
      </c>
      <c r="R136" s="141"/>
      <c r="S136" s="141" t="str">
        <f t="shared" si="160"/>
        <v/>
      </c>
      <c r="T136" s="137" t="str">
        <f t="shared" si="192"/>
        <v/>
      </c>
      <c r="U136" s="45" t="str">
        <f t="shared" si="161"/>
        <v/>
      </c>
      <c r="V136" s="45" t="str">
        <f t="shared" si="162"/>
        <v/>
      </c>
      <c r="W136" s="45" t="str">
        <f t="shared" si="163"/>
        <v/>
      </c>
      <c r="X136" s="45"/>
      <c r="Y136" s="73" t="str">
        <f t="shared" si="164"/>
        <v/>
      </c>
      <c r="Z136" s="36" t="str">
        <f t="shared" si="190"/>
        <v/>
      </c>
      <c r="AA136" s="73"/>
      <c r="AB136" s="73"/>
      <c r="AC136" s="73" t="str">
        <f t="shared" si="165"/>
        <v/>
      </c>
      <c r="AD136" s="45"/>
      <c r="AE136" s="42"/>
      <c r="AF136" s="45"/>
      <c r="AG136" s="45"/>
      <c r="AH136" s="45"/>
      <c r="AI136" s="45"/>
      <c r="AJ136" s="56" t="str">
        <f t="shared" si="166"/>
        <v/>
      </c>
      <c r="AK136" s="45"/>
      <c r="AL136" s="74"/>
      <c r="AM136" s="133"/>
      <c r="AN136" s="45"/>
      <c r="AO136" s="45"/>
      <c r="AP136" s="45"/>
      <c r="AQ136" s="45"/>
      <c r="AR136" s="45"/>
      <c r="AS136" s="45"/>
      <c r="AT136" s="45"/>
      <c r="AU136" s="45"/>
      <c r="AV136" s="45"/>
      <c r="AW136" s="45"/>
      <c r="AX136" s="45"/>
      <c r="AY136" s="45"/>
      <c r="AZ136" s="45"/>
      <c r="BA136" s="45"/>
      <c r="BB136" s="45"/>
      <c r="BC136" s="74"/>
      <c r="BD136" s="45"/>
      <c r="BE136" s="74"/>
      <c r="BF136" s="74"/>
      <c r="BG136" s="109"/>
      <c r="BH136" s="109"/>
      <c r="BI136" s="111"/>
      <c r="BJ136" s="74"/>
      <c r="BK136" s="74"/>
      <c r="BL136" s="45"/>
      <c r="BM136" s="45"/>
      <c r="BN136" s="45"/>
      <c r="BO136" s="45"/>
      <c r="BP136" s="45"/>
      <c r="BQ136" s="74"/>
      <c r="BR136" s="74"/>
      <c r="BS136" s="45"/>
      <c r="BT136" s="45"/>
      <c r="BU136" s="45"/>
      <c r="BV136" s="45"/>
      <c r="BW136" s="74"/>
      <c r="BX136" s="74"/>
      <c r="BY136" s="45"/>
    </row>
    <row r="137" spans="1:80" s="28" customFormat="1">
      <c r="A137" s="32">
        <f t="shared" si="108"/>
        <v>133</v>
      </c>
      <c r="B137" s="32"/>
      <c r="C137" s="73"/>
      <c r="D137" s="73"/>
      <c r="E137" s="73"/>
      <c r="F137" s="34" t="str">
        <f t="shared" si="153"/>
        <v/>
      </c>
      <c r="G137" s="34" t="str">
        <f t="shared" si="191"/>
        <v/>
      </c>
      <c r="H137" s="116" t="str">
        <f t="shared" si="155"/>
        <v/>
      </c>
      <c r="I137" s="36" t="str">
        <f t="shared" si="101"/>
        <v/>
      </c>
      <c r="J137" s="124"/>
      <c r="K137" s="116" t="str">
        <f t="shared" si="156"/>
        <v/>
      </c>
      <c r="L137" s="124"/>
      <c r="M137" s="136" t="str">
        <f t="shared" si="109"/>
        <v/>
      </c>
      <c r="N137" s="116" t="str">
        <f t="shared" si="157"/>
        <v/>
      </c>
      <c r="O137" s="129" t="str">
        <f t="shared" si="158"/>
        <v/>
      </c>
      <c r="P137" s="73"/>
      <c r="Q137" s="37" t="str">
        <f t="shared" si="159"/>
        <v/>
      </c>
      <c r="R137" s="141"/>
      <c r="S137" s="141" t="str">
        <f t="shared" si="160"/>
        <v/>
      </c>
      <c r="T137" s="137" t="str">
        <f t="shared" si="192"/>
        <v/>
      </c>
      <c r="U137" s="45" t="str">
        <f t="shared" si="161"/>
        <v/>
      </c>
      <c r="V137" s="45" t="str">
        <f t="shared" si="162"/>
        <v/>
      </c>
      <c r="W137" s="45" t="str">
        <f t="shared" si="163"/>
        <v/>
      </c>
      <c r="X137" s="45"/>
      <c r="Y137" s="73" t="str">
        <f t="shared" si="164"/>
        <v/>
      </c>
      <c r="Z137" s="36" t="str">
        <f t="shared" si="190"/>
        <v/>
      </c>
      <c r="AA137" s="73"/>
      <c r="AB137" s="73"/>
      <c r="AC137" s="73" t="str">
        <f t="shared" si="165"/>
        <v/>
      </c>
      <c r="AD137" s="45"/>
      <c r="AE137" s="42"/>
      <c r="AF137" s="45"/>
      <c r="AG137" s="45"/>
      <c r="AH137" s="45"/>
      <c r="AI137" s="45"/>
      <c r="AJ137" s="56" t="str">
        <f t="shared" si="166"/>
        <v/>
      </c>
      <c r="AK137" s="45"/>
      <c r="AL137" s="74"/>
      <c r="AM137" s="133"/>
      <c r="AN137" s="45"/>
      <c r="AO137" s="45"/>
      <c r="AP137" s="45"/>
      <c r="AQ137" s="45"/>
      <c r="AR137" s="45"/>
      <c r="AS137" s="45"/>
      <c r="AT137" s="45"/>
      <c r="AU137" s="45"/>
      <c r="AV137" s="45"/>
      <c r="AW137" s="45"/>
      <c r="AX137" s="45"/>
      <c r="AY137" s="45"/>
      <c r="AZ137" s="45"/>
      <c r="BA137" s="45"/>
      <c r="BB137" s="45"/>
      <c r="BC137" s="74"/>
      <c r="BD137" s="45"/>
      <c r="BE137" s="74"/>
      <c r="BF137" s="74"/>
      <c r="BG137" s="109"/>
      <c r="BH137" s="109"/>
      <c r="BI137" s="111"/>
      <c r="BJ137" s="74"/>
      <c r="BK137" s="74"/>
      <c r="BL137" s="45"/>
      <c r="BM137" s="45"/>
      <c r="BN137" s="45"/>
      <c r="BO137" s="45"/>
      <c r="BP137" s="45"/>
      <c r="BQ137" s="74"/>
      <c r="BR137" s="74"/>
      <c r="BS137" s="45"/>
      <c r="BT137" s="45"/>
      <c r="BU137" s="45"/>
      <c r="BV137" s="45"/>
      <c r="BW137" s="74"/>
      <c r="BX137" s="74"/>
      <c r="BY137" s="45"/>
    </row>
    <row r="138" spans="1:80" s="28" customFormat="1">
      <c r="A138" s="32">
        <f t="shared" si="108"/>
        <v>134</v>
      </c>
      <c r="B138" s="32"/>
      <c r="C138" s="73"/>
      <c r="D138" s="73"/>
      <c r="E138" s="73"/>
      <c r="F138" s="34" t="str">
        <f t="shared" si="153"/>
        <v/>
      </c>
      <c r="G138" s="34" t="str">
        <f t="shared" si="191"/>
        <v/>
      </c>
      <c r="H138" s="116" t="str">
        <f t="shared" si="155"/>
        <v/>
      </c>
      <c r="I138" s="36" t="str">
        <f t="shared" si="101"/>
        <v/>
      </c>
      <c r="J138" s="124"/>
      <c r="K138" s="116" t="str">
        <f t="shared" si="156"/>
        <v/>
      </c>
      <c r="L138" s="124"/>
      <c r="M138" s="136" t="str">
        <f t="shared" si="109"/>
        <v/>
      </c>
      <c r="N138" s="116" t="str">
        <f t="shared" si="157"/>
        <v/>
      </c>
      <c r="O138" s="129" t="str">
        <f t="shared" si="158"/>
        <v/>
      </c>
      <c r="P138" s="73"/>
      <c r="Q138" s="37" t="str">
        <f t="shared" si="159"/>
        <v/>
      </c>
      <c r="R138" s="141"/>
      <c r="S138" s="141" t="str">
        <f t="shared" si="160"/>
        <v/>
      </c>
      <c r="T138" s="137" t="str">
        <f t="shared" si="192"/>
        <v/>
      </c>
      <c r="U138" s="45" t="str">
        <f t="shared" si="161"/>
        <v/>
      </c>
      <c r="V138" s="45" t="str">
        <f t="shared" si="162"/>
        <v/>
      </c>
      <c r="W138" s="45" t="str">
        <f t="shared" si="163"/>
        <v/>
      </c>
      <c r="X138" s="45"/>
      <c r="Y138" s="73" t="str">
        <f t="shared" si="164"/>
        <v/>
      </c>
      <c r="Z138" s="36" t="str">
        <f t="shared" si="190"/>
        <v/>
      </c>
      <c r="AA138" s="73"/>
      <c r="AB138" s="73"/>
      <c r="AC138" s="73" t="str">
        <f t="shared" si="165"/>
        <v/>
      </c>
      <c r="AD138" s="45"/>
      <c r="AE138" s="42"/>
      <c r="AF138" s="45"/>
      <c r="AG138" s="45"/>
      <c r="AH138" s="45"/>
      <c r="AI138" s="45"/>
      <c r="AJ138" s="56" t="str">
        <f t="shared" si="166"/>
        <v/>
      </c>
      <c r="AK138" s="45"/>
      <c r="AL138" s="74"/>
      <c r="AM138" s="133"/>
      <c r="AN138" s="45"/>
      <c r="AO138" s="45"/>
      <c r="AP138" s="45"/>
      <c r="AQ138" s="45"/>
      <c r="AR138" s="45"/>
      <c r="AS138" s="45"/>
      <c r="AT138" s="45"/>
      <c r="AU138" s="45"/>
      <c r="AV138" s="45"/>
      <c r="AW138" s="45"/>
      <c r="AX138" s="45"/>
      <c r="AY138" s="45"/>
      <c r="AZ138" s="45"/>
      <c r="BA138" s="45"/>
      <c r="BB138" s="45"/>
      <c r="BC138" s="74"/>
      <c r="BD138" s="45"/>
      <c r="BE138" s="74"/>
      <c r="BF138" s="74"/>
      <c r="BG138" s="109"/>
      <c r="BH138" s="109"/>
      <c r="BI138" s="111"/>
      <c r="BJ138" s="74"/>
      <c r="BK138" s="74"/>
      <c r="BL138" s="45"/>
      <c r="BM138" s="45"/>
      <c r="BN138" s="45"/>
      <c r="BO138" s="45"/>
      <c r="BP138" s="45"/>
      <c r="BQ138" s="74"/>
      <c r="BR138" s="74"/>
      <c r="BS138" s="45"/>
      <c r="BT138" s="45"/>
      <c r="BU138" s="45"/>
      <c r="BV138" s="45"/>
      <c r="BW138" s="74"/>
      <c r="BX138" s="74"/>
      <c r="BY138" s="45"/>
    </row>
    <row r="139" spans="1:80" s="28" customFormat="1">
      <c r="A139" s="32">
        <f t="shared" si="108"/>
        <v>135</v>
      </c>
      <c r="B139" s="32"/>
      <c r="C139" s="73"/>
      <c r="D139" s="73"/>
      <c r="E139" s="73"/>
      <c r="F139" s="34" t="str">
        <f t="shared" si="153"/>
        <v/>
      </c>
      <c r="G139" s="34" t="str">
        <f t="shared" si="191"/>
        <v/>
      </c>
      <c r="H139" s="116" t="str">
        <f t="shared" si="155"/>
        <v/>
      </c>
      <c r="I139" s="36" t="str">
        <f t="shared" ref="I139:I178" si="193">IF(C139="screen","fakeplay","") &amp; IF(C139="mood","mood","") &amp; IF(C139="fakemake","fakemake","")</f>
        <v/>
      </c>
      <c r="J139" s="124"/>
      <c r="K139" s="116" t="str">
        <f t="shared" ref="K139:K178" si="194">SUBSTITUTE(SUBSTITUTE(SUBSTITUTE(J139,"%id",A139),"%screens",D139),"%data",IF(P139="","{}",P139))</f>
        <v/>
      </c>
      <c r="L139" s="124"/>
      <c r="M139" s="136" t="str">
        <f t="shared" si="109"/>
        <v/>
      </c>
      <c r="N139" s="116" t="str">
        <f t="shared" si="157"/>
        <v/>
      </c>
      <c r="O139" s="129" t="str">
        <f t="shared" si="158"/>
        <v/>
      </c>
      <c r="P139" s="73"/>
      <c r="Q139" s="37" t="str">
        <f t="shared" si="159"/>
        <v/>
      </c>
      <c r="R139" s="141"/>
      <c r="S139" s="141" t="str">
        <f t="shared" si="160"/>
        <v/>
      </c>
      <c r="T139" s="137" t="str">
        <f t="shared" si="192"/>
        <v/>
      </c>
      <c r="U139" s="45" t="str">
        <f t="shared" si="161"/>
        <v/>
      </c>
      <c r="V139" s="45" t="str">
        <f t="shared" si="162"/>
        <v/>
      </c>
      <c r="W139" s="45" t="str">
        <f t="shared" si="163"/>
        <v/>
      </c>
      <c r="X139" s="45"/>
      <c r="Y139" s="73" t="str">
        <f t="shared" si="164"/>
        <v/>
      </c>
      <c r="Z139" s="36" t="str">
        <f t="shared" si="190"/>
        <v/>
      </c>
      <c r="AA139" s="73"/>
      <c r="AB139" s="73"/>
      <c r="AC139" s="73" t="str">
        <f t="shared" si="165"/>
        <v/>
      </c>
      <c r="AD139" s="45"/>
      <c r="AE139" s="42"/>
      <c r="AF139" s="45"/>
      <c r="AG139" s="45"/>
      <c r="AH139" s="45"/>
      <c r="AI139" s="45"/>
      <c r="AJ139" s="56" t="str">
        <f t="shared" si="166"/>
        <v/>
      </c>
      <c r="AK139" s="45"/>
      <c r="AL139" s="74"/>
      <c r="AM139" s="133"/>
      <c r="AN139" s="45"/>
      <c r="AO139" s="45"/>
      <c r="AP139" s="45"/>
      <c r="AQ139" s="45"/>
      <c r="AR139" s="45"/>
      <c r="AS139" s="45"/>
      <c r="AT139" s="45"/>
      <c r="AU139" s="45"/>
      <c r="AV139" s="45"/>
      <c r="AW139" s="45"/>
      <c r="AX139" s="45"/>
      <c r="AY139" s="45"/>
      <c r="AZ139" s="45"/>
      <c r="BA139" s="45"/>
      <c r="BB139" s="45"/>
      <c r="BC139" s="74"/>
      <c r="BD139" s="45"/>
      <c r="BE139" s="74"/>
      <c r="BF139" s="74"/>
      <c r="BG139" s="109"/>
      <c r="BH139" s="109"/>
      <c r="BI139" s="111"/>
      <c r="BJ139" s="74"/>
      <c r="BK139" s="74"/>
      <c r="BL139" s="45"/>
      <c r="BM139" s="45"/>
      <c r="BN139" s="45"/>
      <c r="BO139" s="45"/>
      <c r="BP139" s="45"/>
      <c r="BQ139" s="74"/>
      <c r="BR139" s="74"/>
      <c r="BS139" s="45"/>
      <c r="BT139" s="45"/>
      <c r="BU139" s="45"/>
      <c r="BV139" s="45"/>
      <c r="BW139" s="74"/>
      <c r="BX139" s="74"/>
      <c r="BY139" s="45"/>
    </row>
    <row r="140" spans="1:80" s="28" customFormat="1">
      <c r="A140" s="32">
        <f t="shared" si="108"/>
        <v>136</v>
      </c>
      <c r="B140" s="32"/>
      <c r="C140" s="73"/>
      <c r="D140" s="73"/>
      <c r="E140" s="73"/>
      <c r="F140" s="34" t="str">
        <f t="shared" si="153"/>
        <v/>
      </c>
      <c r="G140" s="34" t="str">
        <f t="shared" si="191"/>
        <v/>
      </c>
      <c r="H140" s="116" t="str">
        <f t="shared" si="155"/>
        <v/>
      </c>
      <c r="I140" s="36" t="str">
        <f t="shared" si="193"/>
        <v/>
      </c>
      <c r="J140" s="124"/>
      <c r="K140" s="116" t="str">
        <f t="shared" si="194"/>
        <v/>
      </c>
      <c r="L140" s="124"/>
      <c r="M140" s="136" t="str">
        <f t="shared" si="109"/>
        <v/>
      </c>
      <c r="N140" s="116" t="str">
        <f t="shared" si="157"/>
        <v/>
      </c>
      <c r="O140" s="129" t="str">
        <f t="shared" si="158"/>
        <v/>
      </c>
      <c r="P140" s="73"/>
      <c r="Q140" s="37" t="str">
        <f t="shared" si="159"/>
        <v/>
      </c>
      <c r="R140" s="141"/>
      <c r="S140" s="141" t="str">
        <f t="shared" si="160"/>
        <v/>
      </c>
      <c r="T140" s="137" t="str">
        <f t="shared" si="192"/>
        <v/>
      </c>
      <c r="U140" s="45" t="str">
        <f t="shared" si="161"/>
        <v/>
      </c>
      <c r="V140" s="45" t="str">
        <f t="shared" si="162"/>
        <v/>
      </c>
      <c r="W140" s="45" t="str">
        <f t="shared" si="163"/>
        <v/>
      </c>
      <c r="X140" s="45"/>
      <c r="Y140" s="73" t="str">
        <f t="shared" si="164"/>
        <v/>
      </c>
      <c r="Z140" s="36" t="str">
        <f t="shared" si="190"/>
        <v/>
      </c>
      <c r="AA140" s="73"/>
      <c r="AB140" s="73"/>
      <c r="AC140" s="73" t="str">
        <f t="shared" si="165"/>
        <v/>
      </c>
      <c r="AD140" s="45"/>
      <c r="AE140" s="42"/>
      <c r="AF140" s="45"/>
      <c r="AG140" s="45"/>
      <c r="AH140" s="45"/>
      <c r="AI140" s="45"/>
      <c r="AJ140" s="56" t="str">
        <f t="shared" si="166"/>
        <v/>
      </c>
      <c r="AK140" s="45"/>
      <c r="AL140" s="74"/>
      <c r="AM140" s="133"/>
      <c r="AN140" s="45"/>
      <c r="AO140" s="45"/>
      <c r="AP140" s="45"/>
      <c r="AQ140" s="45"/>
      <c r="AR140" s="45"/>
      <c r="AS140" s="45"/>
      <c r="AT140" s="45"/>
      <c r="AU140" s="45"/>
      <c r="AV140" s="45"/>
      <c r="AW140" s="45"/>
      <c r="AX140" s="45"/>
      <c r="AY140" s="45"/>
      <c r="AZ140" s="45"/>
      <c r="BA140" s="45"/>
      <c r="BB140" s="45"/>
      <c r="BC140" s="74"/>
      <c r="BD140" s="45"/>
      <c r="BE140" s="74"/>
      <c r="BF140" s="74"/>
      <c r="BG140" s="109"/>
      <c r="BH140" s="109"/>
      <c r="BI140" s="111"/>
      <c r="BJ140" s="74"/>
      <c r="BK140" s="74"/>
      <c r="BL140" s="45"/>
      <c r="BM140" s="45"/>
      <c r="BN140" s="45"/>
      <c r="BO140" s="45"/>
      <c r="BP140" s="45"/>
      <c r="BQ140" s="74"/>
      <c r="BR140" s="74"/>
      <c r="BS140" s="45"/>
      <c r="BT140" s="45"/>
      <c r="BU140" s="45"/>
      <c r="BV140" s="45"/>
      <c r="BW140" s="74"/>
      <c r="BX140" s="74"/>
      <c r="BY140" s="45"/>
    </row>
    <row r="141" spans="1:80" s="28" customFormat="1">
      <c r="A141" s="32">
        <f t="shared" si="108"/>
        <v>137</v>
      </c>
      <c r="B141" s="32"/>
      <c r="C141" s="73"/>
      <c r="D141" s="73"/>
      <c r="E141" s="73"/>
      <c r="F141" s="34" t="str">
        <f t="shared" si="153"/>
        <v/>
      </c>
      <c r="G141" s="34" t="str">
        <f t="shared" si="191"/>
        <v/>
      </c>
      <c r="H141" s="116" t="str">
        <f t="shared" si="155"/>
        <v/>
      </c>
      <c r="I141" s="36" t="str">
        <f t="shared" si="193"/>
        <v/>
      </c>
      <c r="J141" s="124"/>
      <c r="K141" s="116" t="str">
        <f t="shared" si="194"/>
        <v/>
      </c>
      <c r="L141" s="124"/>
      <c r="M141" s="136" t="str">
        <f t="shared" si="109"/>
        <v/>
      </c>
      <c r="N141" s="116" t="str">
        <f t="shared" si="157"/>
        <v/>
      </c>
      <c r="O141" s="129" t="str">
        <f t="shared" si="158"/>
        <v/>
      </c>
      <c r="P141" s="45"/>
      <c r="Q141" s="37" t="str">
        <f t="shared" si="159"/>
        <v/>
      </c>
      <c r="R141" s="141"/>
      <c r="S141" s="141" t="str">
        <f t="shared" si="160"/>
        <v/>
      </c>
      <c r="T141" s="137" t="str">
        <f t="shared" si="192"/>
        <v/>
      </c>
      <c r="U141" s="45"/>
      <c r="V141" s="45" t="str">
        <f>IF(OR(P141="",Y141=""),"",osc_exe_npmosc&amp;" --host "&amp;osc_ip&amp;":"&amp;osc_port_control&amp;" "&amp;Z141&amp; "  " &amp; j_qot &amp;X141 &amp; j_qot)</f>
        <v/>
      </c>
      <c r="W141" s="45" t="str">
        <f>IF(OR(P141="",Y141=""),"",osc_exe_sendosc&amp;" "&amp;osc_ip&amp;" "&amp; osc_port_control &amp;" "&amp;Z141&amp;" s "&amp;SUBSTITUTE(SUBSTITUTE(SUBSTITUTE(SUBSTITUTE(SUBSTITUTE(SUBSTITUTE(SUBSTITUTE(P141,"""","\"&amp;"""")," ","\ "),"}","\}"),"?","\?"),"(","\("),")","\)"),"|","\|"))</f>
        <v/>
      </c>
      <c r="X141" s="45" t="str">
        <f>IF(Y141&lt;&gt;"x","",IF(P141="","",SUBSTITUTE(SUBSTITUTE(SUBSTITUTE(SUBSTITUTE(P141,"""","#Q")," ","#S"),",","#C"),"'","#A")))</f>
        <v/>
      </c>
      <c r="Y141" s="73"/>
      <c r="Z141" s="36" t="str">
        <f t="shared" si="190"/>
        <v/>
      </c>
      <c r="AA141" s="73"/>
      <c r="AB141" s="73"/>
      <c r="AC141" s="73"/>
      <c r="AD141" s="73" t="str">
        <f>IF(C141="maketext",channel_bw_generate,"")</f>
        <v/>
      </c>
      <c r="AE141" s="42"/>
      <c r="AF141" s="45"/>
      <c r="AG141" s="45"/>
      <c r="AH141" s="45"/>
      <c r="AI141" s="45"/>
      <c r="AJ141" s="45"/>
      <c r="AK141" s="56" t="str">
        <f>IF(AH141="","",TEXT(SUBSTITUTE(AJ141," ","_"),"000") &amp; "_" &amp; AH141)</f>
        <v/>
      </c>
      <c r="AL141" s="74"/>
      <c r="AM141" s="133"/>
      <c r="AN141" s="45"/>
      <c r="AO141" s="45"/>
      <c r="AP141" s="45"/>
      <c r="AQ141" s="45"/>
      <c r="AR141" s="45"/>
      <c r="AS141" s="45"/>
      <c r="AT141" s="45"/>
      <c r="AU141" s="45"/>
      <c r="AV141" s="45"/>
      <c r="AW141" s="45"/>
      <c r="AX141" s="45"/>
      <c r="AY141" s="45"/>
      <c r="AZ141" s="45"/>
      <c r="BA141" s="45"/>
      <c r="BB141" s="45"/>
      <c r="BC141" s="74"/>
      <c r="BD141" s="42"/>
      <c r="BE141" s="45"/>
      <c r="BF141" s="74"/>
      <c r="BG141" s="109"/>
      <c r="BH141" s="109"/>
      <c r="BI141" s="109"/>
      <c r="BJ141" s="111"/>
      <c r="BK141" s="74"/>
      <c r="BL141" s="45"/>
      <c r="BM141" s="45"/>
      <c r="BN141" s="45"/>
      <c r="BO141" s="45"/>
      <c r="BP141" s="45"/>
      <c r="BQ141" s="74"/>
      <c r="BR141" s="74"/>
      <c r="BS141" s="45"/>
      <c r="BT141" s="45"/>
      <c r="BU141" s="45"/>
      <c r="BV141" s="45"/>
      <c r="BW141" s="74"/>
      <c r="BX141" s="74"/>
      <c r="BY141" s="45"/>
      <c r="BZ141" s="45"/>
      <c r="CA141" s="45"/>
    </row>
    <row r="142" spans="1:80" s="28" customFormat="1">
      <c r="A142" s="155"/>
      <c r="B142" s="155"/>
      <c r="C142" s="155"/>
      <c r="D142" s="155"/>
      <c r="E142" s="155"/>
      <c r="F142" s="155"/>
      <c r="G142" s="155"/>
      <c r="H142" s="155"/>
      <c r="I142" s="36" t="str">
        <f t="shared" si="193"/>
        <v/>
      </c>
      <c r="J142" s="155"/>
      <c r="K142" s="116" t="str">
        <f t="shared" si="194"/>
        <v/>
      </c>
      <c r="L142" s="155"/>
      <c r="M142" s="155"/>
      <c r="N142" s="155"/>
      <c r="O142" s="155"/>
      <c r="P142" s="155"/>
      <c r="Q142" s="155"/>
      <c r="R142" s="155"/>
      <c r="S142" s="155"/>
      <c r="T142" s="156"/>
      <c r="U142" s="155"/>
      <c r="V142" s="155"/>
      <c r="W142" s="155"/>
      <c r="X142" s="155"/>
      <c r="Y142" s="155"/>
      <c r="Z142" s="155"/>
      <c r="AA142" s="155"/>
      <c r="AB142" s="155"/>
      <c r="AC142" s="155"/>
      <c r="AD142" s="155"/>
      <c r="AE142" s="155"/>
      <c r="AF142" s="155"/>
      <c r="AG142" s="155"/>
      <c r="AH142" s="155"/>
      <c r="AI142" s="155"/>
      <c r="AJ142" s="155"/>
      <c r="AK142" s="155"/>
      <c r="AL142" s="155"/>
      <c r="AM142" s="155"/>
      <c r="AN142" s="155"/>
      <c r="AO142" s="155"/>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55"/>
      <c r="BU142" s="155"/>
      <c r="BV142" s="155"/>
      <c r="BW142" s="155"/>
      <c r="BX142" s="155"/>
      <c r="BY142" s="155"/>
      <c r="BZ142" s="155"/>
      <c r="CA142" s="155"/>
    </row>
    <row r="143" spans="1:80" s="28" customFormat="1">
      <c r="A143" s="155"/>
      <c r="B143" s="155"/>
      <c r="C143" s="155"/>
      <c r="D143" s="155"/>
      <c r="E143" s="155"/>
      <c r="F143" s="155"/>
      <c r="G143" s="155"/>
      <c r="H143" s="155"/>
      <c r="I143" s="36" t="str">
        <f t="shared" si="193"/>
        <v/>
      </c>
      <c r="J143" s="155"/>
      <c r="K143" s="116" t="str">
        <f t="shared" si="194"/>
        <v/>
      </c>
      <c r="L143" s="155"/>
      <c r="M143" s="155"/>
      <c r="N143" s="155"/>
      <c r="O143" s="155"/>
      <c r="P143" s="155"/>
      <c r="Q143" s="155"/>
      <c r="R143" s="155"/>
      <c r="S143" s="155"/>
      <c r="T143" s="156"/>
      <c r="U143" s="155"/>
      <c r="V143" s="155"/>
      <c r="W143" s="155"/>
      <c r="X143" s="155"/>
      <c r="Y143" s="155"/>
      <c r="Z143" s="155"/>
      <c r="AA143" s="155"/>
      <c r="AB143" s="155"/>
      <c r="AC143" s="155"/>
      <c r="AD143" s="155"/>
      <c r="AE143" s="155"/>
      <c r="AF143" s="155"/>
      <c r="AG143" s="155"/>
      <c r="AH143" s="155"/>
      <c r="AI143" s="155"/>
      <c r="AJ143" s="155"/>
      <c r="AK143" s="155"/>
      <c r="AL143" s="155"/>
      <c r="AM143" s="155"/>
      <c r="AN143" s="155"/>
      <c r="AO143" s="155"/>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55"/>
      <c r="BU143" s="155"/>
      <c r="BV143" s="155"/>
      <c r="BW143" s="155"/>
      <c r="BX143" s="155"/>
      <c r="BY143" s="155"/>
      <c r="BZ143" s="155"/>
      <c r="CA143" s="155"/>
    </row>
    <row r="144" spans="1:80" s="28" customFormat="1">
      <c r="A144" s="155"/>
      <c r="B144" s="155"/>
      <c r="C144" s="155"/>
      <c r="D144" s="155"/>
      <c r="E144" s="155"/>
      <c r="F144" s="155"/>
      <c r="G144" s="155"/>
      <c r="H144" s="155"/>
      <c r="I144" s="36" t="str">
        <f t="shared" si="193"/>
        <v/>
      </c>
      <c r="J144" s="155"/>
      <c r="K144" s="116" t="str">
        <f t="shared" si="194"/>
        <v/>
      </c>
      <c r="L144" s="155"/>
      <c r="M144" s="155"/>
      <c r="N144" s="155"/>
      <c r="O144" s="155"/>
      <c r="P144" s="155"/>
      <c r="Q144" s="155"/>
      <c r="R144" s="155"/>
      <c r="S144" s="155"/>
      <c r="T144" s="156"/>
      <c r="U144" s="155"/>
      <c r="V144" s="155"/>
      <c r="W144" s="155"/>
      <c r="X144" s="155"/>
      <c r="Y144" s="155"/>
      <c r="Z144" s="155"/>
      <c r="AA144" s="155"/>
      <c r="AB144" s="155"/>
      <c r="AC144" s="155"/>
      <c r="AD144" s="155"/>
      <c r="AE144" s="155"/>
      <c r="AF144" s="155"/>
      <c r="AG144" s="155"/>
      <c r="AH144" s="155"/>
      <c r="AI144" s="155"/>
      <c r="AJ144" s="155"/>
      <c r="AK144" s="155"/>
      <c r="AL144" s="155"/>
      <c r="AM144" s="155"/>
      <c r="AN144" s="155"/>
      <c r="AO144" s="155"/>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55"/>
      <c r="BU144" s="155"/>
      <c r="BV144" s="155"/>
      <c r="BW144" s="155"/>
      <c r="BX144" s="155"/>
      <c r="BY144" s="155"/>
      <c r="BZ144" s="155"/>
      <c r="CA144" s="155"/>
    </row>
    <row r="145" spans="1:79" s="28" customFormat="1">
      <c r="A145" s="155"/>
      <c r="B145" s="155"/>
      <c r="C145" s="155"/>
      <c r="D145" s="155"/>
      <c r="E145" s="155"/>
      <c r="F145" s="155"/>
      <c r="G145" s="155"/>
      <c r="H145" s="155"/>
      <c r="I145" s="36" t="str">
        <f t="shared" si="193"/>
        <v/>
      </c>
      <c r="J145" s="155"/>
      <c r="K145" s="116" t="str">
        <f t="shared" si="194"/>
        <v/>
      </c>
      <c r="L145" s="155"/>
      <c r="M145" s="155"/>
      <c r="N145" s="155"/>
      <c r="O145" s="155"/>
      <c r="P145" s="155"/>
      <c r="Q145" s="155"/>
      <c r="R145" s="155"/>
      <c r="S145" s="155"/>
      <c r="T145" s="156"/>
      <c r="U145" s="155"/>
      <c r="V145" s="155"/>
      <c r="W145" s="155"/>
      <c r="X145" s="155"/>
      <c r="Y145" s="155"/>
      <c r="Z145" s="155"/>
      <c r="AA145" s="155"/>
      <c r="AB145" s="155"/>
      <c r="AC145" s="155"/>
      <c r="AD145" s="155"/>
      <c r="AE145" s="155"/>
      <c r="AF145" s="155"/>
      <c r="AG145" s="155"/>
      <c r="AH145" s="155"/>
      <c r="AI145" s="155"/>
      <c r="AJ145" s="155"/>
      <c r="AK145" s="155"/>
      <c r="AL145" s="155"/>
      <c r="AM145" s="155"/>
      <c r="AN145" s="155"/>
      <c r="AO145" s="155"/>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55"/>
      <c r="BU145" s="155"/>
      <c r="BV145" s="155"/>
      <c r="BW145" s="155"/>
      <c r="BX145" s="155"/>
      <c r="BY145" s="155"/>
      <c r="BZ145" s="155"/>
      <c r="CA145" s="155"/>
    </row>
    <row r="146" spans="1:79" s="28" customFormat="1">
      <c r="A146" s="155"/>
      <c r="B146" s="155"/>
      <c r="C146" s="155"/>
      <c r="D146" s="155"/>
      <c r="E146" s="155"/>
      <c r="F146" s="155"/>
      <c r="G146" s="155"/>
      <c r="H146" s="155"/>
      <c r="I146" s="36" t="str">
        <f t="shared" si="193"/>
        <v/>
      </c>
      <c r="J146" s="155"/>
      <c r="K146" s="116" t="str">
        <f t="shared" si="194"/>
        <v/>
      </c>
      <c r="L146" s="155"/>
      <c r="M146" s="155"/>
      <c r="N146" s="155"/>
      <c r="O146" s="155"/>
      <c r="P146" s="155"/>
      <c r="Q146" s="155"/>
      <c r="R146" s="155"/>
      <c r="S146" s="155"/>
      <c r="T146" s="156"/>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55"/>
      <c r="BU146" s="155"/>
      <c r="BV146" s="155"/>
      <c r="BW146" s="155"/>
      <c r="BX146" s="155"/>
      <c r="BY146" s="155"/>
      <c r="BZ146" s="155"/>
      <c r="CA146" s="155"/>
    </row>
    <row r="147" spans="1:79" s="28" customFormat="1">
      <c r="A147" s="155"/>
      <c r="B147" s="155"/>
      <c r="C147" s="155"/>
      <c r="D147" s="155"/>
      <c r="E147" s="155"/>
      <c r="F147" s="155"/>
      <c r="G147" s="155"/>
      <c r="H147" s="155"/>
      <c r="I147" s="36" t="str">
        <f t="shared" si="193"/>
        <v/>
      </c>
      <c r="J147" s="155"/>
      <c r="K147" s="116" t="str">
        <f t="shared" si="194"/>
        <v/>
      </c>
      <c r="L147" s="155"/>
      <c r="M147" s="155"/>
      <c r="N147" s="155"/>
      <c r="O147" s="155"/>
      <c r="P147" s="155"/>
      <c r="Q147" s="155"/>
      <c r="R147" s="155"/>
      <c r="S147" s="155"/>
      <c r="T147" s="156"/>
      <c r="U147" s="155"/>
      <c r="V147" s="155"/>
      <c r="W147" s="155"/>
      <c r="X147" s="155"/>
      <c r="Y147" s="155"/>
      <c r="Z147" s="155"/>
      <c r="AA147" s="155"/>
      <c r="AB147" s="155"/>
      <c r="AC147" s="155"/>
      <c r="AD147" s="155"/>
      <c r="AE147" s="155"/>
      <c r="AF147" s="155"/>
      <c r="AG147" s="155"/>
      <c r="AH147" s="155"/>
      <c r="AI147" s="155"/>
      <c r="AJ147" s="155"/>
      <c r="AK147" s="155"/>
      <c r="AL147" s="155"/>
      <c r="AM147" s="155"/>
      <c r="AN147" s="155"/>
      <c r="AO147" s="155"/>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55"/>
      <c r="BU147" s="155"/>
      <c r="BV147" s="155"/>
      <c r="BW147" s="155"/>
      <c r="BX147" s="155"/>
      <c r="BY147" s="155"/>
      <c r="BZ147" s="155"/>
      <c r="CA147" s="155"/>
    </row>
    <row r="148" spans="1:79">
      <c r="A148" s="155"/>
      <c r="B148" s="155"/>
      <c r="C148" s="155"/>
      <c r="D148" s="155"/>
      <c r="E148" s="155"/>
      <c r="F148" s="155"/>
      <c r="G148" s="155"/>
      <c r="H148" s="155"/>
      <c r="I148" s="36" t="str">
        <f t="shared" si="193"/>
        <v/>
      </c>
      <c r="J148" s="155"/>
      <c r="K148" s="116" t="str">
        <f t="shared" si="194"/>
        <v/>
      </c>
      <c r="L148" s="155"/>
      <c r="M148" s="155"/>
      <c r="N148" s="155"/>
      <c r="O148" s="155"/>
      <c r="P148" s="155"/>
      <c r="Q148" s="155"/>
      <c r="R148" s="155"/>
      <c r="S148" s="155"/>
      <c r="T148" s="156"/>
      <c r="U148" s="155"/>
      <c r="V148" s="155"/>
      <c r="W148" s="155"/>
      <c r="X148" s="155"/>
      <c r="Y148" s="155"/>
      <c r="Z148" s="155"/>
      <c r="AA148" s="155"/>
      <c r="AB148" s="155"/>
      <c r="AC148" s="155"/>
      <c r="AD148" s="155"/>
      <c r="AE148" s="155"/>
      <c r="AF148" s="155"/>
      <c r="AG148" s="155"/>
      <c r="AH148" s="155"/>
      <c r="AI148" s="155"/>
      <c r="AJ148" s="155"/>
      <c r="AK148" s="155"/>
      <c r="AL148" s="155"/>
      <c r="AM148" s="155"/>
      <c r="AN148" s="155"/>
      <c r="AO148" s="155"/>
      <c r="AP148" s="155"/>
      <c r="AQ148" s="155"/>
      <c r="AR148" s="155"/>
      <c r="AS148" s="155"/>
      <c r="AT148" s="155"/>
      <c r="AU148" s="155"/>
      <c r="AV148" s="155"/>
      <c r="AW148" s="155"/>
      <c r="AX148" s="155"/>
      <c r="AY148" s="155"/>
      <c r="AZ148" s="155"/>
      <c r="BA148" s="155"/>
      <c r="BB148" s="155"/>
      <c r="BC148" s="155"/>
      <c r="BD148" s="155"/>
      <c r="BE148" s="155"/>
      <c r="BF148" s="155"/>
      <c r="BG148" s="155"/>
      <c r="BH148" s="155"/>
      <c r="BI148" s="155"/>
      <c r="BJ148" s="155"/>
      <c r="BK148" s="155"/>
      <c r="BL148" s="155"/>
      <c r="BM148" s="155"/>
      <c r="BN148" s="155"/>
      <c r="BO148" s="155"/>
      <c r="BP148" s="155"/>
      <c r="BQ148" s="155"/>
      <c r="BR148" s="155"/>
      <c r="BS148" s="155"/>
      <c r="BT148" s="155"/>
      <c r="BU148" s="155"/>
      <c r="BV148" s="155"/>
      <c r="BW148" s="155"/>
      <c r="BX148" s="155"/>
      <c r="BY148" s="155"/>
      <c r="BZ148" s="155"/>
      <c r="CA148" s="155"/>
    </row>
    <row r="149" spans="1:79">
      <c r="A149" s="115" t="s">
        <v>300</v>
      </c>
      <c r="B149" s="115"/>
      <c r="C149" s="9"/>
      <c r="D149" s="9"/>
      <c r="I149" s="36" t="str">
        <f t="shared" si="193"/>
        <v/>
      </c>
      <c r="K149" s="116" t="str">
        <f t="shared" si="194"/>
        <v/>
      </c>
      <c r="P149" t="str">
        <f>"{" &amp; """" &amp; label_role &amp; """" &amp; ":" &amp; """" &amp; AE149 &amp; """,""" &amp; label_text &amp; """" &amp; ":" &amp; """" &amp; AF149 &amp; """,""" &amp; label_azure&amp; """:{"  &amp; """" &amp; label_gpt_emo &amp; """" &amp; ":" &amp; """" &amp; BD149 &amp; """," &amp;  """" &amp; label_gpt_tone &amp; """" &amp; ":" &amp; """" &amp; BE149 &amp; """," &amp;  """" &amp; label_degree &amp; """" &amp; ":" &amp; BM149 &amp; "," &amp;  """" &amp; label_pause &amp; """" &amp; ":" &amp; BN149 &amp; "," &amp;  """" &amp; label_pitch &amp; """" &amp; ":" &amp; BO149 &amp; "," &amp;  """" &amp; label_rate &amp; """" &amp; ":" &amp; BP149 &amp; "},""" &amp; label_gpt_emo &amp; """:{""" &amp; label_sad &amp; """" &amp; ":" &amp; BS149 &amp; "," &amp;  """" &amp; label_joy &amp; """" &amp; ":" &amp; BT149 &amp; "," &amp;  """" &amp; label_fear &amp; """" &amp; ":" &amp; BU149 &amp; "," &amp;  """" &amp; label_disgust &amp; """" &amp; ":" &amp; BV149 &amp; "," &amp;  """" &amp; label_anger &amp; """" &amp; ":" &amp; BW149  &amp; "},""" &amp; label_sg &amp; """:{""" &amp;label_mood &amp; """" &amp; ":" &amp; BY149 &amp; "," &amp;  """" &amp; label_scale &amp; """" &amp; ":" &amp; BZ149 &amp; "}}"</f>
        <v>{"role":"elsa","text":"Doctor will be right there.","azure":{"gpt_emotion":"neutral","gpt_tone":"normal","degree":0.1,"pause":0.2,"pitch":3,"rate":400},"gpt_emotion":{"sadness":0.5,"joy":0.6,"fear":0.7,"disgust":0.8,"anger":0.9},"sgcom":{"mood":1.1,"scale":1.2}}</v>
      </c>
      <c r="V149" s="10"/>
      <c r="W149" s="10"/>
      <c r="X149" s="10"/>
      <c r="Z149" s="1" t="str">
        <f t="shared" ref="Z149:Z159" si="195">osc_channel_meat_say</f>
        <v>say</v>
      </c>
      <c r="AE149" s="1" t="s">
        <v>301</v>
      </c>
      <c r="AF149" t="s">
        <v>302</v>
      </c>
      <c r="BD149" t="s">
        <v>117</v>
      </c>
      <c r="BE149" t="s">
        <v>303</v>
      </c>
      <c r="BG149" s="108"/>
      <c r="BH149" s="108"/>
      <c r="BI149" s="108" t="s">
        <v>77</v>
      </c>
      <c r="BJ149" s="110"/>
      <c r="BM149" t="s">
        <v>304</v>
      </c>
      <c r="BN149" t="s">
        <v>116</v>
      </c>
      <c r="BO149">
        <v>3</v>
      </c>
      <c r="BP149">
        <v>400</v>
      </c>
      <c r="BS149" t="s">
        <v>107</v>
      </c>
      <c r="BT149" t="s">
        <v>159</v>
      </c>
      <c r="BU149" t="s">
        <v>305</v>
      </c>
      <c r="BV149" t="s">
        <v>131</v>
      </c>
      <c r="BW149" t="s">
        <v>306</v>
      </c>
      <c r="BY149" s="10" t="s">
        <v>307</v>
      </c>
      <c r="BZ149" s="10" t="s">
        <v>308</v>
      </c>
      <c r="CA149" s="10" t="s">
        <v>308</v>
      </c>
    </row>
    <row r="150" spans="1:79">
      <c r="A150" s="9"/>
      <c r="B150" s="9"/>
      <c r="C150" s="9"/>
      <c r="D150" s="9"/>
      <c r="I150" s="36" t="str">
        <f t="shared" si="193"/>
        <v/>
      </c>
      <c r="K150" s="116" t="str">
        <f t="shared" si="194"/>
        <v/>
      </c>
      <c r="V150" s="10"/>
      <c r="W150" s="10"/>
      <c r="X150" s="10"/>
      <c r="Z150" s="1" t="str">
        <f t="shared" si="195"/>
        <v>say</v>
      </c>
      <c r="BG150" s="108" t="s">
        <v>309</v>
      </c>
      <c r="BH150" s="108"/>
      <c r="BI150" s="108" t="s">
        <v>77</v>
      </c>
      <c r="BJ150" s="110" t="s">
        <v>310</v>
      </c>
      <c r="BY150" s="10"/>
      <c r="BZ150" s="10"/>
      <c r="CA150" s="10"/>
    </row>
    <row r="151" spans="1:79">
      <c r="A151" s="9"/>
      <c r="B151" s="9"/>
      <c r="C151" s="9"/>
      <c r="D151" s="9"/>
      <c r="I151" s="36" t="str">
        <f t="shared" si="193"/>
        <v/>
      </c>
      <c r="K151" s="116" t="str">
        <f t="shared" si="194"/>
        <v/>
      </c>
      <c r="P151" t="str">
        <f t="shared" ref="P151:P159" si="196">"{" &amp; """" &amp; label_role &amp; """" &amp; ":" &amp; """" &amp; AE151 &amp; """,""" &amp; label_text &amp; """" &amp; ":" &amp; """" &amp; AF151 &amp; """,""" &amp; label_azure&amp; """:{"  &amp; """" &amp; label_gpt_emo &amp; """" &amp; ":" &amp; """" &amp; BD151 &amp; """," &amp;  """" &amp; label_gpt_tone &amp; """" &amp; ":" &amp; """" &amp; BE151 &amp; """," &amp;  """" &amp; label_degree &amp; """" &amp; ":" &amp; BM151 &amp; "," &amp;  """" &amp; label_pause &amp; """" &amp; ":" &amp; BN151 &amp; "," &amp;  """" &amp; label_pitch &amp; """" &amp; ":" &amp; BO151 &amp; "," &amp;  """" &amp; label_rate &amp; """" &amp; ":" &amp; BP151 &amp; "},""" &amp; label_gpt_emo &amp; """:{""" &amp; label_sad &amp; """" &amp; ":" &amp; BS151 &amp; "," &amp;  """" &amp; label_joy &amp; """" &amp; ":" &amp; BT151 &amp; "," &amp;  """" &amp; label_fear &amp; """" &amp; ":" &amp; BU151 &amp; "," &amp;  """" &amp; label_disgust &amp; """" &amp; ":" &amp; BV151 &amp; "," &amp;  """" &amp; label_anger &amp; """" &amp; ":" &amp; BW151  &amp; "},""" &amp; label_sg &amp; """:{""" &amp;label_mood &amp; """" &amp; ":" &amp; BY151 &amp; "," &amp;  """" &amp; label_scale &amp; """" &amp; ":" &amp; BZ151 &amp; "}}"</f>
        <v>{"role":"joe","text":"I am neutral.","azure":{"gpt_emotion":"neutral","gpt_tone":"normal","degree":0.1,"pause":0.2,"pitch":3,"rate":400},"gpt_emotion":{"sadness":0.5,"joy":0.6,"fear":0.7,"disgust":0.8,"anger":0.9},"sgcom":{"mood":1.1,"scale":1.2}}</v>
      </c>
      <c r="V151" s="10"/>
      <c r="W151" s="10"/>
      <c r="X151" s="10"/>
      <c r="Z151" s="1" t="str">
        <f t="shared" si="195"/>
        <v>say</v>
      </c>
      <c r="AE151" s="1" t="s">
        <v>311</v>
      </c>
      <c r="AF151" t="s">
        <v>312</v>
      </c>
      <c r="BD151" t="s">
        <v>117</v>
      </c>
      <c r="BE151" t="s">
        <v>303</v>
      </c>
      <c r="BG151" s="108"/>
      <c r="BH151" s="108"/>
      <c r="BI151" s="108" t="s">
        <v>77</v>
      </c>
      <c r="BJ151" s="110"/>
      <c r="BM151" t="s">
        <v>304</v>
      </c>
      <c r="BN151" t="s">
        <v>116</v>
      </c>
      <c r="BO151">
        <v>3</v>
      </c>
      <c r="BP151">
        <v>400</v>
      </c>
      <c r="BS151" t="s">
        <v>107</v>
      </c>
      <c r="BT151" t="s">
        <v>159</v>
      </c>
      <c r="BU151" t="s">
        <v>305</v>
      </c>
      <c r="BV151" t="s">
        <v>131</v>
      </c>
      <c r="BW151" t="s">
        <v>306</v>
      </c>
      <c r="BY151" s="10" t="s">
        <v>307</v>
      </c>
      <c r="BZ151" s="10" t="s">
        <v>308</v>
      </c>
      <c r="CA151" s="10" t="s">
        <v>308</v>
      </c>
    </row>
    <row r="152" spans="1:79" ht="18.75" customHeight="1">
      <c r="A152" s="9"/>
      <c r="B152" s="9"/>
      <c r="C152" s="9"/>
      <c r="D152" s="9"/>
      <c r="I152" s="36" t="str">
        <f t="shared" si="193"/>
        <v/>
      </c>
      <c r="K152" s="116" t="str">
        <f t="shared" si="194"/>
        <v/>
      </c>
      <c r="P152" t="str">
        <f t="shared" si="196"/>
        <v>{"role":"joe","text":"I am expressive.","azure":{"gpt_emotion":"neutral","gpt_tone":"expressive","degree":0.1,"pause":0.2,"pitch":3,"rate":400},"gpt_emotion":{"sadness":0.5,"joy":0.6,"fear":0.7,"disgust":0.8,"anger":0.9},"sgcom":{"mood":1.1,"scale":1.2}}</v>
      </c>
      <c r="V152" s="10"/>
      <c r="W152" s="10"/>
      <c r="X152" s="10"/>
      <c r="Z152" s="1" t="str">
        <f t="shared" si="195"/>
        <v>say</v>
      </c>
      <c r="AE152" s="1" t="s">
        <v>311</v>
      </c>
      <c r="AF152" t="s">
        <v>313</v>
      </c>
      <c r="BD152" t="s">
        <v>117</v>
      </c>
      <c r="BE152" t="s">
        <v>314</v>
      </c>
      <c r="BG152" s="108" t="s">
        <v>315</v>
      </c>
      <c r="BH152" s="108"/>
      <c r="BI152" s="108" t="s">
        <v>77</v>
      </c>
      <c r="BJ152" s="110" t="s">
        <v>310</v>
      </c>
      <c r="BM152" t="s">
        <v>304</v>
      </c>
      <c r="BN152" t="s">
        <v>116</v>
      </c>
      <c r="BO152">
        <v>3</v>
      </c>
      <c r="BP152">
        <v>400</v>
      </c>
      <c r="BS152" t="s">
        <v>107</v>
      </c>
      <c r="BT152" t="s">
        <v>159</v>
      </c>
      <c r="BU152" t="s">
        <v>305</v>
      </c>
      <c r="BV152" t="s">
        <v>131</v>
      </c>
      <c r="BW152" t="s">
        <v>306</v>
      </c>
      <c r="BY152" s="10" t="s">
        <v>307</v>
      </c>
      <c r="BZ152" s="10" t="s">
        <v>308</v>
      </c>
      <c r="CA152" s="10" t="s">
        <v>308</v>
      </c>
    </row>
    <row r="153" spans="1:79">
      <c r="A153" s="9"/>
      <c r="B153" s="9"/>
      <c r="C153" s="9"/>
      <c r="D153" s="9"/>
      <c r="I153" s="36" t="str">
        <f t="shared" si="193"/>
        <v/>
      </c>
      <c r="K153" s="116" t="str">
        <f t="shared" si="194"/>
        <v/>
      </c>
      <c r="P153" t="str">
        <f t="shared" si="196"/>
        <v>{"role":"joe","text":"I am whispering.","azure":{"gpt_emotion":"neutral","gpt_tone":"whisper","degree":0.1,"pause":0.2,"pitch":3,"rate":400},"gpt_emotion":{"sadness":0.5,"joy":0.6,"fear":0.7,"disgust":0.8,"anger":0.9},"sgcom":{"mood":1.1,"scale":1.2}}</v>
      </c>
      <c r="V153" s="10"/>
      <c r="W153" s="10"/>
      <c r="X153" s="10"/>
      <c r="Z153" s="1" t="str">
        <f t="shared" si="195"/>
        <v>say</v>
      </c>
      <c r="AE153" s="1" t="s">
        <v>311</v>
      </c>
      <c r="AF153" t="s">
        <v>316</v>
      </c>
      <c r="BD153" t="s">
        <v>117</v>
      </c>
      <c r="BE153" t="s">
        <v>317</v>
      </c>
      <c r="BG153" s="108"/>
      <c r="BH153" s="108"/>
      <c r="BI153" s="108" t="s">
        <v>77</v>
      </c>
      <c r="BJ153" s="110"/>
      <c r="BM153" t="s">
        <v>304</v>
      </c>
      <c r="BN153" t="s">
        <v>116</v>
      </c>
      <c r="BO153">
        <v>3</v>
      </c>
      <c r="BP153">
        <v>400</v>
      </c>
      <c r="BS153" t="s">
        <v>107</v>
      </c>
      <c r="BT153" t="s">
        <v>159</v>
      </c>
      <c r="BU153" t="s">
        <v>305</v>
      </c>
      <c r="BV153" t="s">
        <v>131</v>
      </c>
      <c r="BW153" t="s">
        <v>306</v>
      </c>
      <c r="BY153" s="10" t="s">
        <v>307</v>
      </c>
      <c r="BZ153" s="10" t="s">
        <v>308</v>
      </c>
      <c r="CA153" s="10" t="s">
        <v>308</v>
      </c>
    </row>
    <row r="154" spans="1:79">
      <c r="A154" s="9"/>
      <c r="B154" s="9"/>
      <c r="C154" s="9"/>
      <c r="D154" s="9"/>
      <c r="I154" s="36" t="str">
        <f t="shared" si="193"/>
        <v/>
      </c>
      <c r="K154" s="116" t="str">
        <f t="shared" si="194"/>
        <v/>
      </c>
      <c r="P154" t="str">
        <f t="shared" si="196"/>
        <v>{"role":"joe","text":"I am shouting.","azure":{"gpt_emotion":"neutral","gpt_tone":"shout","degree":0.1,"pause":0.2,"pitch":3,"rate":400},"gpt_emotion":{"sadness":0.5,"joy":0.6,"fear":0.7,"disgust":0.8,"anger":0.9},"sgcom":{"mood":1.1,"scale":1.2}}</v>
      </c>
      <c r="V154" s="10"/>
      <c r="W154" s="10"/>
      <c r="X154" s="10"/>
      <c r="Z154" s="1" t="str">
        <f t="shared" si="195"/>
        <v>say</v>
      </c>
      <c r="AE154" s="1" t="s">
        <v>311</v>
      </c>
      <c r="AF154" t="s">
        <v>318</v>
      </c>
      <c r="BD154" t="s">
        <v>117</v>
      </c>
      <c r="BE154" t="s">
        <v>319</v>
      </c>
      <c r="BG154" s="108" t="s">
        <v>320</v>
      </c>
      <c r="BH154" s="108"/>
      <c r="BI154" s="108" t="s">
        <v>77</v>
      </c>
      <c r="BJ154" s="110" t="s">
        <v>321</v>
      </c>
      <c r="BM154" t="s">
        <v>304</v>
      </c>
      <c r="BN154" t="s">
        <v>116</v>
      </c>
      <c r="BO154">
        <v>3</v>
      </c>
      <c r="BP154">
        <v>400</v>
      </c>
      <c r="BS154" t="s">
        <v>107</v>
      </c>
      <c r="BT154" t="s">
        <v>159</v>
      </c>
      <c r="BU154" t="s">
        <v>305</v>
      </c>
      <c r="BV154" t="s">
        <v>131</v>
      </c>
      <c r="BW154" t="s">
        <v>306</v>
      </c>
      <c r="BY154" s="10" t="s">
        <v>307</v>
      </c>
      <c r="BZ154" s="10" t="s">
        <v>308</v>
      </c>
      <c r="CA154" s="10" t="s">
        <v>308</v>
      </c>
    </row>
    <row r="155" spans="1:79">
      <c r="A155" s="9"/>
      <c r="B155" s="9"/>
      <c r="C155" s="9"/>
      <c r="D155" s="9"/>
      <c r="I155" s="36" t="str">
        <f t="shared" si="193"/>
        <v/>
      </c>
      <c r="K155" s="116" t="str">
        <f t="shared" si="194"/>
        <v/>
      </c>
      <c r="P155" t="str">
        <f t="shared" si="196"/>
        <v>{"role":"joe","text":"I am sad.","azure":{"gpt_emotion":"sad","gpt_tone":"normal","degree":0.1,"pause":0.2,"pitch":3,"rate":400},"gpt_emotion":{"sadness":0.5,"joy":0.6,"fear":0.7,"disgust":0.8,"anger":0.9},"sgcom":{"mood":1.1,"scale":1.2}}</v>
      </c>
      <c r="V155" s="10"/>
      <c r="W155" s="10"/>
      <c r="X155" s="10"/>
      <c r="Z155" s="1" t="str">
        <f t="shared" si="195"/>
        <v>say</v>
      </c>
      <c r="AE155" s="1" t="s">
        <v>311</v>
      </c>
      <c r="AF155" t="s">
        <v>322</v>
      </c>
      <c r="BD155" t="s">
        <v>323</v>
      </c>
      <c r="BE155" t="s">
        <v>303</v>
      </c>
      <c r="BM155" t="s">
        <v>304</v>
      </c>
      <c r="BN155" t="s">
        <v>116</v>
      </c>
      <c r="BO155">
        <v>3</v>
      </c>
      <c r="BP155">
        <v>400</v>
      </c>
      <c r="BS155" t="s">
        <v>107</v>
      </c>
      <c r="BT155" t="s">
        <v>159</v>
      </c>
      <c r="BU155" t="s">
        <v>305</v>
      </c>
      <c r="BV155" t="s">
        <v>131</v>
      </c>
      <c r="BW155" t="s">
        <v>306</v>
      </c>
      <c r="BY155" s="10" t="s">
        <v>307</v>
      </c>
      <c r="BZ155" s="10" t="s">
        <v>308</v>
      </c>
      <c r="CA155" s="10" t="s">
        <v>308</v>
      </c>
    </row>
    <row r="156" spans="1:79">
      <c r="A156" s="9"/>
      <c r="B156" s="9"/>
      <c r="C156" s="9"/>
      <c r="D156" s="9"/>
      <c r="I156" s="36" t="str">
        <f t="shared" si="193"/>
        <v/>
      </c>
      <c r="K156" s="116" t="str">
        <f t="shared" si="194"/>
        <v/>
      </c>
      <c r="P156" t="str">
        <f t="shared" si="196"/>
        <v>{"role":"joe","text":"I am joyful.","azure":{"gpt_emotion":"happy","gpt_tone":"normal","degree":0.1,"pause":0.2,"pitch":3,"rate":400},"gpt_emotion":{"sadness":0.5,"joy":0.6,"fear":0.7,"disgust":0.8,"anger":0.9},"sgcom":{"mood":1.1,"scale":1.2}}</v>
      </c>
      <c r="V156" s="10"/>
      <c r="W156" s="10"/>
      <c r="X156" s="10"/>
      <c r="Z156" s="1" t="str">
        <f t="shared" si="195"/>
        <v>say</v>
      </c>
      <c r="AE156" s="1" t="s">
        <v>311</v>
      </c>
      <c r="AF156" t="s">
        <v>324</v>
      </c>
      <c r="BD156" t="s">
        <v>191</v>
      </c>
      <c r="BE156" t="s">
        <v>303</v>
      </c>
      <c r="BM156" t="s">
        <v>304</v>
      </c>
      <c r="BN156" t="s">
        <v>116</v>
      </c>
      <c r="BO156">
        <v>3</v>
      </c>
      <c r="BP156">
        <v>400</v>
      </c>
      <c r="BS156" t="s">
        <v>107</v>
      </c>
      <c r="BT156" t="s">
        <v>159</v>
      </c>
      <c r="BU156" t="s">
        <v>305</v>
      </c>
      <c r="BV156" t="s">
        <v>131</v>
      </c>
      <c r="BW156" t="s">
        <v>306</v>
      </c>
      <c r="BY156" s="10" t="s">
        <v>307</v>
      </c>
      <c r="BZ156" s="10" t="s">
        <v>308</v>
      </c>
      <c r="CA156" s="10" t="s">
        <v>308</v>
      </c>
    </row>
    <row r="157" spans="1:79">
      <c r="A157" s="9"/>
      <c r="B157" s="9"/>
      <c r="C157" s="9"/>
      <c r="D157" s="9"/>
      <c r="I157" s="36" t="str">
        <f t="shared" si="193"/>
        <v/>
      </c>
      <c r="K157" s="116" t="str">
        <f t="shared" si="194"/>
        <v/>
      </c>
      <c r="P157" t="str">
        <f t="shared" si="196"/>
        <v>{"role":"joe","text":"I am afraid.","azure":{"gpt_emotion":"fear","gpt_tone":"normal","degree":0.1,"pause":0.2,"pitch":3,"rate":400},"gpt_emotion":{"sadness":0.5,"joy":0.6,"fear":0.7,"disgust":0.8,"anger":0.9},"sgcom":{"mood":1.1,"scale":1.2}}</v>
      </c>
      <c r="V157" s="10"/>
      <c r="W157" s="10"/>
      <c r="X157" s="10"/>
      <c r="Z157" s="1" t="str">
        <f t="shared" si="195"/>
        <v>say</v>
      </c>
      <c r="AE157" s="1" t="s">
        <v>311</v>
      </c>
      <c r="AF157" t="s">
        <v>325</v>
      </c>
      <c r="BD157" t="s">
        <v>70</v>
      </c>
      <c r="BE157" t="s">
        <v>303</v>
      </c>
      <c r="BM157" t="s">
        <v>304</v>
      </c>
      <c r="BN157" t="s">
        <v>116</v>
      </c>
      <c r="BO157">
        <v>3</v>
      </c>
      <c r="BP157">
        <v>400</v>
      </c>
      <c r="BS157" t="s">
        <v>107</v>
      </c>
      <c r="BT157" t="s">
        <v>159</v>
      </c>
      <c r="BU157" t="s">
        <v>305</v>
      </c>
      <c r="BV157" t="s">
        <v>131</v>
      </c>
      <c r="BW157" t="s">
        <v>306</v>
      </c>
      <c r="BY157" s="10" t="s">
        <v>307</v>
      </c>
      <c r="BZ157" s="10" t="s">
        <v>308</v>
      </c>
      <c r="CA157" s="10" t="s">
        <v>308</v>
      </c>
    </row>
    <row r="158" spans="1:79">
      <c r="A158" s="9"/>
      <c r="B158" s="9"/>
      <c r="C158" s="9"/>
      <c r="D158" s="9"/>
      <c r="I158" s="36" t="str">
        <f t="shared" si="193"/>
        <v/>
      </c>
      <c r="K158" s="116" t="str">
        <f t="shared" si="194"/>
        <v/>
      </c>
      <c r="P158" t="str">
        <f t="shared" si="196"/>
        <v>{"role":"joe","text":"I am disgusted.","azure":{"gpt_emotion":"disgust","gpt_tone":"normal","degree":0.1,"pause":0.2,"pitch":3,"rate":400},"gpt_emotion":{"sadness":0.5,"joy":0.6,"fear":0.7,"disgust":0.8,"anger":0.9},"sgcom":{"mood":1.1,"scale":1.2}}</v>
      </c>
      <c r="V158" s="10"/>
      <c r="W158" s="10"/>
      <c r="X158" s="10"/>
      <c r="Z158" s="1" t="str">
        <f t="shared" si="195"/>
        <v>say</v>
      </c>
      <c r="AE158" s="1" t="s">
        <v>311</v>
      </c>
      <c r="AF158" t="s">
        <v>326</v>
      </c>
      <c r="BD158" t="s">
        <v>71</v>
      </c>
      <c r="BE158" t="s">
        <v>303</v>
      </c>
      <c r="BM158" t="s">
        <v>304</v>
      </c>
      <c r="BN158" t="s">
        <v>116</v>
      </c>
      <c r="BO158">
        <v>3</v>
      </c>
      <c r="BP158">
        <v>400</v>
      </c>
      <c r="BS158" t="s">
        <v>107</v>
      </c>
      <c r="BT158" t="s">
        <v>159</v>
      </c>
      <c r="BU158" t="s">
        <v>305</v>
      </c>
      <c r="BV158" t="s">
        <v>131</v>
      </c>
      <c r="BW158" t="s">
        <v>306</v>
      </c>
      <c r="BY158" s="10" t="s">
        <v>307</v>
      </c>
      <c r="BZ158" s="10" t="s">
        <v>308</v>
      </c>
      <c r="CA158" s="10" t="s">
        <v>308</v>
      </c>
    </row>
    <row r="159" spans="1:79">
      <c r="A159" s="9"/>
      <c r="B159" s="9"/>
      <c r="C159" s="9"/>
      <c r="D159" s="9"/>
      <c r="I159" s="36" t="str">
        <f t="shared" si="193"/>
        <v/>
      </c>
      <c r="K159" s="116" t="str">
        <f t="shared" si="194"/>
        <v/>
      </c>
      <c r="P159" t="str">
        <f t="shared" si="196"/>
        <v>{"role":"joe","text":"I am angry.","azure":{"gpt_emotion":"anger","gpt_tone":"normal","degree":0.1,"pause":0.2,"pitch":3,"rate":400},"gpt_emotion":{"sadness":0.5,"joy":0.6,"fear":0.7,"disgust":0.8,"anger":0.9},"sgcom":{"mood":1.1,"scale":1.2}}</v>
      </c>
      <c r="V159" s="10"/>
      <c r="W159" s="10"/>
      <c r="X159" s="10"/>
      <c r="Z159" s="1" t="str">
        <f t="shared" si="195"/>
        <v>say</v>
      </c>
      <c r="AE159" s="1" t="s">
        <v>311</v>
      </c>
      <c r="AF159" t="s">
        <v>327</v>
      </c>
      <c r="BD159" t="s">
        <v>72</v>
      </c>
      <c r="BE159" t="s">
        <v>303</v>
      </c>
      <c r="BM159" t="s">
        <v>304</v>
      </c>
      <c r="BN159" t="s">
        <v>116</v>
      </c>
      <c r="BO159">
        <v>3</v>
      </c>
      <c r="BP159">
        <v>400</v>
      </c>
      <c r="BS159" t="s">
        <v>107</v>
      </c>
      <c r="BT159" t="s">
        <v>159</v>
      </c>
      <c r="BU159" t="s">
        <v>305</v>
      </c>
      <c r="BV159" t="s">
        <v>131</v>
      </c>
      <c r="BW159" t="s">
        <v>306</v>
      </c>
      <c r="BY159" s="10" t="s">
        <v>307</v>
      </c>
      <c r="BZ159" s="10" t="s">
        <v>308</v>
      </c>
      <c r="CA159" s="10" t="s">
        <v>308</v>
      </c>
    </row>
    <row r="160" spans="1:79">
      <c r="I160" s="36" t="str">
        <f t="shared" si="193"/>
        <v/>
      </c>
      <c r="K160" s="116" t="str">
        <f t="shared" si="194"/>
        <v/>
      </c>
    </row>
    <row r="161" spans="1:79 1071:1071">
      <c r="I161" s="36" t="str">
        <f t="shared" si="193"/>
        <v/>
      </c>
      <c r="K161" s="116" t="str">
        <f t="shared" si="194"/>
        <v/>
      </c>
    </row>
    <row r="162" spans="1:79 1071:1071" s="27" customFormat="1">
      <c r="A162" s="32">
        <f t="shared" ref="A162:A176" si="197">A161+1</f>
        <v>1</v>
      </c>
      <c r="B162" s="32"/>
      <c r="C162" s="32" t="s">
        <v>100</v>
      </c>
      <c r="D162" s="32"/>
      <c r="E162" s="34" t="s">
        <v>101</v>
      </c>
      <c r="F162" s="34"/>
      <c r="G162" s="34"/>
      <c r="H162" s="116"/>
      <c r="I162" s="36" t="str">
        <f t="shared" si="193"/>
        <v/>
      </c>
      <c r="J162" s="36"/>
      <c r="K162" s="116" t="str">
        <f t="shared" si="194"/>
        <v/>
      </c>
      <c r="L162" s="36"/>
      <c r="M162" s="36"/>
      <c r="N162" s="36"/>
      <c r="O162" s="132"/>
      <c r="P162" s="37" t="str">
        <f t="shared" ref="P162:P176" si="198">IF(Y162&lt;&gt;"x","",j_opn&amp; "id" &amp; j_sep &amp; A162 &amp; j_nxt &amp; label_deepfake_filename &amp; j_sep &amp; AK162 &amp; j_nxt &amp; label_role&amp; j_sep &amp; AE162 &amp; j_nxt&amp;label_text&amp;j_sep &amp; AF162 &amp; j_nxt&amp;label_gpt_emo&amp;j_sep&amp;BD162&amp;j_nxt&amp;label_gpt_tone&amp;j_sep&amp;BE162&amp;j_nxt&amp;label_animate&amp;j_sub_opn&amp; label_pre &amp;j_sep &amp; IF(do_anim=FALSE,"",BG162) &amp;j_nxt&amp;label_post&amp;j_sep&amp;  IF(do_anim="","",BH162) &amp;j_nxt &amp; label_next_state &amp; j_sep&amp;BI162&amp;J_sub_cls&amp;label_azure&amp;j_sub_opn&amp;label_style&amp;j_sep&amp;BL162&amp;j_nxt&amp;label_degree&amp;J_sep_num&amp;BM162&amp;j_nxt_num&amp;label_pause&amp;J_sep_num&amp;BN162&amp;j_nxt_num&amp;label_pitch&amp;J_sep_num&amp;BO162 &amp; j_nxt_num &amp; label_rate &amp; J_sep_num &amp; BP162 &amp; j_nxt_num &amp; label_volume &amp; J_sep_num &amp; BQ162 &amp; j_sub_cls_num&amp;label_emotion&amp;j_sub_opn&amp;label_sad&amp;J_sep_num&amp;BS162&amp;j_nxt_num&amp;label_joy&amp;J_sep_num&amp;BT162&amp;j_nxt_num&amp;label_fear&amp;J_sep_num&amp;BU162&amp;j_nxt_num&amp;label_disgust&amp;J_sep_num&amp;BV162&amp;j_nxt_num&amp;label_anger&amp;J_sep_num&amp;BW162&amp;j_sub_cls_num&amp;label_sg&amp;j_sub_opn&amp;label_mood&amp;j_sep&amp;BY162&amp;j_nxt&amp;label_scale&amp;J_sep_num&amp;BZ162&amp;j_end_num)</f>
        <v>{"id":"1","filename":"001_how have you been","role":"mask","text":"Norbert is bored.","gpt_emotion":"","gpt_tone":"","animate":{"pre":"bored","post":"","next_state":""},"azure":{"style":"","degree":0,"pause":0,"pitch":-5,"rate":-10,"volume":0},"emotion":{"sadness":0,"joy":1,"fear":0,"disgust":0,"anger":0},"sgcom":{"mood":"","scale":-1}}</v>
      </c>
      <c r="Q162" s="37"/>
      <c r="R162" s="35"/>
      <c r="S162" s="35"/>
      <c r="T162" s="137"/>
      <c r="U162" s="39"/>
      <c r="V162" s="35" t="str">
        <f t="shared" ref="V162:V178" si="199">IF(OR(P162="",Y162=""),"",osc_exe_npmosc&amp;" --host "&amp;osc_ip&amp;":"&amp;osc_port_control&amp;" "&amp;Z162&amp; "  " &amp; j_qot &amp;X162 &amp; j_qot)</f>
        <v>/opt/homebrew/bin/osc --host 10.10.10.10:5918 say  "{#Qid#Q:#Q1#Q#C#Qfilename#Q:#Q001_how#Shave#Syou#Sbeen#Q#C#Qrole#Q:#Qmask#Q#C#Qtext#Q:#QNorbert#Sis#Sbored.#Q#C#Qgpt_emotion#Q:#Q#Q#C#Qgpt_tone#Q:#Q#Q#C#Qanimate#Q:{#Qpre#Q:#Qbored#Q#C#Qpost#Q:#Q#Q#C#Qnext_state#Q:#Q#Q}#C#Qazure#Q:{#Qstyle#Q:#Q#Q#C#Qdegree#Q:0#C#Qpause#Q:0#C#Qpitch#Q:-5#C#Qrate#Q:-10#C#Qvolume#Q:0}#C#Qemotion#Q:{#Qsadness#Q:0#C#Qjoy#Q:1#C#Qfear#Q:0#C#Qdisgust#Q:0#C#Qanger#Q:0}#C#Qsgcom#Q:{#Qmood#Q:#Q#Q#C#Qscale#Q:-1}}"</v>
      </c>
      <c r="W162" s="36" t="str">
        <f t="shared" ref="W162:W178" si="200">IF(OR(P162="",Y162=""),"",osc_exe_sendosc&amp;" "&amp;osc_ip&amp;" "&amp; osc_port_control &amp;" "&amp;Z162&amp;" s "&amp;SUBSTITUTE(SUBSTITUTE(SUBSTITUTE(SUBSTITUTE(SUBSTITUTE(SUBSTITUTE(SUBSTITUTE(P162,"""","\"&amp;"""")," ","\ "),"}","\}"),"?","\?"),"(","\("),")","\)"),"|","\|"))</f>
        <v>/opt/homebrew/bin/sendosc 10.10.10.10 5918 say s {\"id\":\"1\",\"filename\":\"001_how\ have\ you\ been\",\"role\":\"mask\",\"text\":\"Norbert\ is\ bored.\",\"gpt_emotion\":\"\",\"gpt_tone\":\"\",\"animate\":{\"pre\":\"bored\",\"post\":\"\",\"next_state\":\"\"\},\"azure\":{\"style\":\"\",\"degree\":0,\"pause\":0,\"pitch\":-5,\"rate\":-10,\"volume\":0\},\"emotion\":{\"sadness\":0,\"joy\":1,\"fear\":0,\"disgust\":0,\"anger\":0\},\"sgcom\":{\"mood\":\"\",\"scale\":-1\}\}</v>
      </c>
      <c r="X162" s="36" t="str">
        <f t="shared" ref="X162:X178" si="201">IF(Y162&lt;&gt;"x","",IF(P162="","",SUBSTITUTE(SUBSTITUTE(SUBSTITUTE(SUBSTITUTE(P162,"""","#Q")," ","#S"),",","#C"),"'","#A")))</f>
        <v>{#Qid#Q:#Q1#Q#C#Qfilename#Q:#Q001_how#Shave#Syou#Sbeen#Q#C#Qrole#Q:#Qmask#Q#C#Qtext#Q:#QNorbert#Sis#Sbored.#Q#C#Qgpt_emotion#Q:#Q#Q#C#Qgpt_tone#Q:#Q#Q#C#Qanimate#Q:{#Qpre#Q:#Qbored#Q#C#Qpost#Q:#Q#Q#C#Qnext_state#Q:#Q#Q}#C#Qazure#Q:{#Qstyle#Q:#Q#Q#C#Qdegree#Q:0#C#Qpause#Q:0#C#Qpitch#Q:-5#C#Qrate#Q:-10#C#Qvolume#Q:0}#C#Qemotion#Q:{#Qsadness#Q:0#C#Qjoy#Q:1#C#Qfear#Q:0#C#Qdisgust#Q:0#C#Qanger#Q:0}#C#Qsgcom#Q:{#Qmood#Q:#Q#Q#C#Qscale#Q:-1}}</v>
      </c>
      <c r="Y162" s="40" t="s">
        <v>102</v>
      </c>
      <c r="Z162" s="36" t="str">
        <f t="shared" ref="Z162:Z178" si="202">IF(Y162&lt;&gt;"x","",IF(OR(C162="speak",C162="spoken",C162="screen_azurevoice"),osc_channel_meat_say,IF(C162="play",osc_channel_meat_play,IF(C162="makefakes_lap",osc_channel_meat_fake,""))))</f>
        <v>say</v>
      </c>
      <c r="AA162" s="36"/>
      <c r="AB162" s="36" t="str" cm="1">
        <f t="array" ref="AB162">IF(C162="observe",channel_av_observe,"") &amp; IF(C162="register",channel_av_register,"")  &amp; IF(C162="listen",channel_av_listen,"")</f>
        <v/>
      </c>
      <c r="AC162" s="36" t="str">
        <f t="shared" ref="AC162:AC176" si="203">IF(C162="mood",channel_td_mood,"") &amp; IF(C162="makefakes_td",channel_td_makefakes,"") &amp; IF(C162="pause",channel_td_pause,"")  &amp; IF(C162="screen",channel_td_screen,"")</f>
        <v/>
      </c>
      <c r="AD162" s="36" t="str">
        <f t="shared" ref="AD162:AD178" si="204">IF(C162="maketext",channel_bw_generate,"")</f>
        <v/>
      </c>
      <c r="AE162" s="42" t="s">
        <v>103</v>
      </c>
      <c r="AF162" s="37" t="s">
        <v>328</v>
      </c>
      <c r="AG162" s="37"/>
      <c r="AH162" s="37" t="s">
        <v>329</v>
      </c>
      <c r="AI162" s="37"/>
      <c r="AJ162" s="114">
        <f t="shared" ref="AJ162:AJ176" si="205">A162</f>
        <v>1</v>
      </c>
      <c r="AK162" s="56" t="str">
        <f t="shared" ref="AK162:AK178" si="206">IF(AH162="","",TEXT(SUBSTITUTE(AJ162," ","_"),"000") &amp; "_" &amp; AH162)</f>
        <v>001_how have you been</v>
      </c>
      <c r="AL162" s="37"/>
      <c r="AM162" s="133"/>
      <c r="AN162" s="37"/>
      <c r="AO162" s="37"/>
      <c r="AP162" s="37"/>
      <c r="AQ162" s="37"/>
      <c r="AR162" s="37"/>
      <c r="AS162" s="37"/>
      <c r="AT162" s="37"/>
      <c r="AU162" s="37"/>
      <c r="AV162" s="37"/>
      <c r="AW162" s="37"/>
      <c r="AX162" s="37"/>
      <c r="AY162" s="37"/>
      <c r="AZ162" s="37"/>
      <c r="BA162" s="37"/>
      <c r="BB162" s="37"/>
      <c r="BC162" s="41"/>
      <c r="BD162" s="42"/>
      <c r="BE162" s="42"/>
      <c r="BF162" s="41"/>
      <c r="BG162" s="108" t="s">
        <v>330</v>
      </c>
      <c r="BH162" s="108"/>
      <c r="BI162" s="108" t="s">
        <v>77</v>
      </c>
      <c r="BJ162" s="110" t="s">
        <v>331</v>
      </c>
      <c r="BK162" s="41"/>
      <c r="BL162" s="42"/>
      <c r="BM162" s="35">
        <v>0</v>
      </c>
      <c r="BN162" s="35">
        <v>0</v>
      </c>
      <c r="BO162" s="35">
        <v>-5</v>
      </c>
      <c r="BP162" s="35">
        <v>-10</v>
      </c>
      <c r="BQ162" s="35">
        <v>0</v>
      </c>
      <c r="BR162" s="41"/>
      <c r="BS162" s="35">
        <v>0</v>
      </c>
      <c r="BT162" s="35">
        <v>1</v>
      </c>
      <c r="BU162" s="35">
        <v>0</v>
      </c>
      <c r="BV162" s="35">
        <v>0</v>
      </c>
      <c r="BW162" s="35">
        <v>0</v>
      </c>
      <c r="BX162" s="41"/>
      <c r="BY162" s="34"/>
      <c r="BZ162" s="43" t="s">
        <v>165</v>
      </c>
      <c r="CA162" s="43" t="s">
        <v>165</v>
      </c>
      <c r="AOE162" s="28"/>
    </row>
    <row r="163" spans="1:79 1071:1071" s="27" customFormat="1">
      <c r="A163" s="32">
        <f t="shared" si="197"/>
        <v>2</v>
      </c>
      <c r="B163" s="32"/>
      <c r="C163" s="32" t="s">
        <v>100</v>
      </c>
      <c r="D163" s="32"/>
      <c r="E163" s="34" t="s">
        <v>101</v>
      </c>
      <c r="F163" s="34"/>
      <c r="G163" s="34"/>
      <c r="H163" s="116"/>
      <c r="I163" s="36" t="str">
        <f t="shared" si="193"/>
        <v/>
      </c>
      <c r="J163" s="36"/>
      <c r="K163" s="116" t="str">
        <f t="shared" si="194"/>
        <v/>
      </c>
      <c r="L163" s="36"/>
      <c r="M163" s="36"/>
      <c r="N163" s="36"/>
      <c r="O163" s="132"/>
      <c r="P163" s="37" t="str">
        <f t="shared" si="198"/>
        <v>{"id":"2","filename":"002_how have you been","role":"mask","text":"Its good to see you again. How have you been?","gpt_emotion":"","gpt_tone":"","animate":{"pre":"circle_look","post":"","next_state":""},"azure":{"style":"Unfriendly","degree":0.5,"pause":0,"pitch":-5,"rate":-10,"volume":0},"emotion":{"sadness":0,"joy":0,"fear":0,"disgust":1,"anger":0},"sgcom":{"mood":"","scale":-1}}</v>
      </c>
      <c r="Q163" s="37"/>
      <c r="R163" s="35"/>
      <c r="S163" s="35"/>
      <c r="T163" s="137"/>
      <c r="U163" s="39"/>
      <c r="V163" s="35" t="str">
        <f t="shared" si="199"/>
        <v>/opt/homebrew/bin/osc --host 10.10.10.10:5918 say  "{#Qid#Q:#Q2#Q#C#Qfilename#Q:#Q002_how#Shave#Syou#Sbeen#Q#C#Qrole#Q:#Qmask#Q#C#Qtext#Q:#QIts#Sgood#Sto#Ssee#Syou#Sagain.#SHow#Shave#Syou#Sbeen?#Q#C#Qgpt_emotion#Q:#Q#Q#C#Qgpt_tone#Q:#Q#Q#C#Qanimate#Q:{#Qpre#Q:#Qcircle_look#Q#C#Qpost#Q:#Q#Q#C#Qnext_state#Q:#Q#Q}#C#Qazure#Q:{#Qstyle#Q:#QUnfriendly#Q#C#Qdegree#Q:0.5#C#Qpause#Q:0#C#Qpitch#Q:-5#C#Qrate#Q:-10#C#Qvolume#Q:0}#C#Qemotion#Q:{#Qsadness#Q:0#C#Qjoy#Q:0#C#Qfear#Q:0#C#Qdisgust#Q:1#C#Qanger#Q:0}#C#Qsgcom#Q:{#Qmood#Q:#Q#Q#C#Qscale#Q:-1}}"</v>
      </c>
      <c r="W163" s="36" t="str">
        <f t="shared" si="200"/>
        <v>/opt/homebrew/bin/sendosc 10.10.10.10 5918 say s {\"id\":\"2\",\"filename\":\"002_how\ have\ you\ been\",\"role\":\"mask\",\"text\":\"Its\ good\ to\ see\ you\ again.\ How\ have\ you\ been\?\",\"gpt_emotion\":\"\",\"gpt_tone\":\"\",\"animate\":{\"pre\":\"circle_look\",\"post\":\"\",\"next_state\":\"\"\},\"azure\":{\"style\":\"Unfriendly\",\"degree\":0.5,\"pause\":0,\"pitch\":-5,\"rate\":-10,\"volume\":0\},\"emotion\":{\"sadness\":0,\"joy\":0,\"fear\":0,\"disgust\":1,\"anger\":0\},\"sgcom\":{\"mood\":\"\",\"scale\":-1\}\}</v>
      </c>
      <c r="X163" s="36" t="str">
        <f t="shared" si="201"/>
        <v>{#Qid#Q:#Q2#Q#C#Qfilename#Q:#Q002_how#Shave#Syou#Sbeen#Q#C#Qrole#Q:#Qmask#Q#C#Qtext#Q:#QIts#Sgood#Sto#Ssee#Syou#Sagain.#SHow#Shave#Syou#Sbeen?#Q#C#Qgpt_emotion#Q:#Q#Q#C#Qgpt_tone#Q:#Q#Q#C#Qanimate#Q:{#Qpre#Q:#Qcircle_look#Q#C#Qpost#Q:#Q#Q#C#Qnext_state#Q:#Q#Q}#C#Qazure#Q:{#Qstyle#Q:#QUnfriendly#Q#C#Qdegree#Q:0.5#C#Qpause#Q:0#C#Qpitch#Q:-5#C#Qrate#Q:-10#C#Qvolume#Q:0}#C#Qemotion#Q:{#Qsadness#Q:0#C#Qjoy#Q:0#C#Qfear#Q:0#C#Qdisgust#Q:1#C#Qanger#Q:0}#C#Qsgcom#Q:{#Qmood#Q:#Q#Q#C#Qscale#Q:-1}}</v>
      </c>
      <c r="Y163" s="40" t="s">
        <v>102</v>
      </c>
      <c r="Z163" s="36" t="str">
        <f t="shared" si="202"/>
        <v>say</v>
      </c>
      <c r="AA163" s="36"/>
      <c r="AB163" s="36" t="str" cm="1">
        <f t="array" ref="AB163">IF(C163="observe",channel_av_observe,"") &amp; IF(C163="register",channel_av_register,"")  &amp; IF(C163="listen",channel_av_listen,"")</f>
        <v/>
      </c>
      <c r="AC163" s="36" t="str">
        <f t="shared" si="203"/>
        <v/>
      </c>
      <c r="AD163" s="36" t="str">
        <f t="shared" si="204"/>
        <v/>
      </c>
      <c r="AE163" s="42" t="s">
        <v>103</v>
      </c>
      <c r="AF163" s="37" t="s">
        <v>104</v>
      </c>
      <c r="AG163" s="37"/>
      <c r="AH163" s="37" t="s">
        <v>329</v>
      </c>
      <c r="AI163" s="37"/>
      <c r="AJ163" s="114">
        <f t="shared" si="205"/>
        <v>2</v>
      </c>
      <c r="AK163" s="56" t="str">
        <f t="shared" si="206"/>
        <v>002_how have you been</v>
      </c>
      <c r="AL163" s="37"/>
      <c r="AM163" s="133"/>
      <c r="AN163" s="37"/>
      <c r="AO163" s="37"/>
      <c r="AP163" s="37"/>
      <c r="AQ163" s="37"/>
      <c r="AR163" s="37"/>
      <c r="AS163" s="37"/>
      <c r="AT163" s="37"/>
      <c r="AU163" s="37"/>
      <c r="AV163" s="37"/>
      <c r="AW163" s="37"/>
      <c r="AX163" s="37"/>
      <c r="AY163" s="37"/>
      <c r="AZ163" s="37"/>
      <c r="BA163" s="37"/>
      <c r="BB163" s="37"/>
      <c r="BC163" s="41"/>
      <c r="BD163" s="42"/>
      <c r="BE163" s="42"/>
      <c r="BF163" s="41"/>
      <c r="BG163" s="108" t="s">
        <v>332</v>
      </c>
      <c r="BH163" s="108"/>
      <c r="BI163" s="108" t="s">
        <v>77</v>
      </c>
      <c r="BJ163" s="110" t="s">
        <v>331</v>
      </c>
      <c r="BK163" s="41"/>
      <c r="BL163" s="42" t="s">
        <v>154</v>
      </c>
      <c r="BM163" s="35" t="s">
        <v>107</v>
      </c>
      <c r="BN163" s="35">
        <v>0</v>
      </c>
      <c r="BO163" s="35">
        <v>-5</v>
      </c>
      <c r="BP163" s="35">
        <v>-10</v>
      </c>
      <c r="BQ163" s="35">
        <v>0</v>
      </c>
      <c r="BR163" s="41"/>
      <c r="BS163" s="35">
        <v>0</v>
      </c>
      <c r="BT163" s="35">
        <v>0</v>
      </c>
      <c r="BU163" s="35">
        <v>0</v>
      </c>
      <c r="BV163" s="35">
        <v>1</v>
      </c>
      <c r="BW163" s="35">
        <v>0</v>
      </c>
      <c r="BX163" s="41"/>
      <c r="BY163" s="34"/>
      <c r="BZ163" s="43" t="s">
        <v>165</v>
      </c>
      <c r="CA163" s="43" t="s">
        <v>165</v>
      </c>
      <c r="AOE163" s="28"/>
    </row>
    <row r="164" spans="1:79 1071:1071" s="27" customFormat="1">
      <c r="A164" s="32">
        <f t="shared" si="197"/>
        <v>3</v>
      </c>
      <c r="B164" s="32"/>
      <c r="C164" s="32" t="s">
        <v>100</v>
      </c>
      <c r="D164" s="32"/>
      <c r="E164" s="34" t="s">
        <v>101</v>
      </c>
      <c r="F164" s="34"/>
      <c r="G164" s="34"/>
      <c r="H164" s="116"/>
      <c r="I164" s="36" t="str">
        <f t="shared" si="193"/>
        <v/>
      </c>
      <c r="J164" s="36"/>
      <c r="K164" s="116" t="str">
        <f t="shared" si="194"/>
        <v/>
      </c>
      <c r="L164" s="36"/>
      <c r="M164" s="36"/>
      <c r="N164" s="36"/>
      <c r="O164" s="132"/>
      <c r="P164" s="37" t="str">
        <f t="shared" si="198"/>
        <v>{"id":"3","filename":"003_how have you been","role":"mask","text":"Its good to see you again. How have you been?","gpt_emotion":"","gpt_tone":"","animate":{"pre":"growl","post":"","next_state":""},"azure":{"style":"Shouting","degree":0.5,"pause":0,"pitch":-5,"rate":-10,"volume":0},"emotion":{"sadness":0,"joy":0,"fear":0,"disgust":0,"anger":1},"sgcom":{"mood":"","scale":-1}}</v>
      </c>
      <c r="Q164" s="37"/>
      <c r="R164" s="35"/>
      <c r="S164" s="35"/>
      <c r="T164" s="137"/>
      <c r="U164" s="39"/>
      <c r="V164" s="35" t="str">
        <f t="shared" si="199"/>
        <v>/opt/homebrew/bin/osc --host 10.10.10.10:5918 say  "{#Qid#Q:#Q3#Q#C#Qfilename#Q:#Q003_how#Shave#Syou#Sbeen#Q#C#Qrole#Q:#Qmask#Q#C#Qtext#Q:#QIts#Sgood#Sto#Ssee#Syou#Sagain.#SHow#Shave#Syou#Sbeen?#Q#C#Qgpt_emotion#Q:#Q#Q#C#Qgpt_tone#Q:#Q#Q#C#Qanimate#Q:{#Qpre#Q:#Qgrowl#Q#C#Qpost#Q:#Q#Q#C#Qnext_state#Q:#Q#Q}#C#Qazure#Q:{#Qstyle#Q:#QShouting#Q#C#Qdegree#Q:0.5#C#Qpause#Q:0#C#Qpitch#Q:-5#C#Qrate#Q:-10#C#Qvolume#Q:0}#C#Qemotion#Q:{#Qsadness#Q:0#C#Qjoy#Q:0#C#Qfear#Q:0#C#Qdisgust#Q:0#C#Qanger#Q:1}#C#Qsgcom#Q:{#Qmood#Q:#Q#Q#C#Qscale#Q:-1}}"</v>
      </c>
      <c r="W164" s="36" t="str">
        <f t="shared" si="200"/>
        <v>/opt/homebrew/bin/sendosc 10.10.10.10 5918 say s {\"id\":\"3\",\"filename\":\"003_how\ have\ you\ been\",\"role\":\"mask\",\"text\":\"Its\ good\ to\ see\ you\ again.\ How\ have\ you\ been\?\",\"gpt_emotion\":\"\",\"gpt_tone\":\"\",\"animate\":{\"pre\":\"growl\",\"post\":\"\",\"next_state\":\"\"\},\"azure\":{\"style\":\"Shouting\",\"degree\":0.5,\"pause\":0,\"pitch\":-5,\"rate\":-10,\"volume\":0\},\"emotion\":{\"sadness\":0,\"joy\":0,\"fear\":0,\"disgust\":0,\"anger\":1\},\"sgcom\":{\"mood\":\"\",\"scale\":-1\}\}</v>
      </c>
      <c r="X164" s="36" t="str">
        <f t="shared" si="201"/>
        <v>{#Qid#Q:#Q3#Q#C#Qfilename#Q:#Q003_how#Shave#Syou#Sbeen#Q#C#Qrole#Q:#Qmask#Q#C#Qtext#Q:#QIts#Sgood#Sto#Ssee#Syou#Sagain.#SHow#Shave#Syou#Sbeen?#Q#C#Qgpt_emotion#Q:#Q#Q#C#Qgpt_tone#Q:#Q#Q#C#Qanimate#Q:{#Qpre#Q:#Qgrowl#Q#C#Qpost#Q:#Q#Q#C#Qnext_state#Q:#Q#Q}#C#Qazure#Q:{#Qstyle#Q:#QShouting#Q#C#Qdegree#Q:0.5#C#Qpause#Q:0#C#Qpitch#Q:-5#C#Qrate#Q:-10#C#Qvolume#Q:0}#C#Qemotion#Q:{#Qsadness#Q:0#C#Qjoy#Q:0#C#Qfear#Q:0#C#Qdisgust#Q:0#C#Qanger#Q:1}#C#Qsgcom#Q:{#Qmood#Q:#Q#Q#C#Qscale#Q:-1}}</v>
      </c>
      <c r="Y164" s="40" t="s">
        <v>102</v>
      </c>
      <c r="Z164" s="36" t="str">
        <f t="shared" si="202"/>
        <v>say</v>
      </c>
      <c r="AA164" s="36"/>
      <c r="AB164" s="36" t="str" cm="1">
        <f t="array" ref="AB164">IF(C164="observe",channel_av_observe,"") &amp; IF(C164="register",channel_av_register,"")  &amp; IF(C164="listen",channel_av_listen,"")</f>
        <v/>
      </c>
      <c r="AC164" s="36" t="str">
        <f t="shared" si="203"/>
        <v/>
      </c>
      <c r="AD164" s="36" t="str">
        <f t="shared" si="204"/>
        <v/>
      </c>
      <c r="AE164" s="42" t="s">
        <v>103</v>
      </c>
      <c r="AF164" s="37" t="s">
        <v>104</v>
      </c>
      <c r="AG164" s="37"/>
      <c r="AH164" s="37" t="s">
        <v>329</v>
      </c>
      <c r="AI164" s="37"/>
      <c r="AJ164" s="114">
        <f t="shared" si="205"/>
        <v>3</v>
      </c>
      <c r="AK164" s="56" t="str">
        <f t="shared" si="206"/>
        <v>003_how have you been</v>
      </c>
      <c r="AL164" s="37"/>
      <c r="AM164" s="133"/>
      <c r="AN164" s="37"/>
      <c r="AO164" s="37"/>
      <c r="AP164" s="37"/>
      <c r="AQ164" s="37"/>
      <c r="AR164" s="37"/>
      <c r="AS164" s="37"/>
      <c r="AT164" s="37"/>
      <c r="AU164" s="37"/>
      <c r="AV164" s="37"/>
      <c r="AW164" s="37"/>
      <c r="AX164" s="37"/>
      <c r="AY164" s="37"/>
      <c r="AZ164" s="37"/>
      <c r="BA164" s="37"/>
      <c r="BB164" s="37"/>
      <c r="BC164" s="41"/>
      <c r="BD164" s="42"/>
      <c r="BE164" s="42"/>
      <c r="BF164" s="41"/>
      <c r="BG164" s="108" t="s">
        <v>333</v>
      </c>
      <c r="BH164" s="108"/>
      <c r="BI164" s="108" t="s">
        <v>77</v>
      </c>
      <c r="BJ164" s="110" t="s">
        <v>334</v>
      </c>
      <c r="BK164" s="41"/>
      <c r="BL164" s="42" t="s">
        <v>256</v>
      </c>
      <c r="BM164" s="35" t="s">
        <v>107</v>
      </c>
      <c r="BN164" s="35">
        <v>0</v>
      </c>
      <c r="BO164" s="35">
        <v>-5</v>
      </c>
      <c r="BP164" s="35">
        <v>-10</v>
      </c>
      <c r="BQ164" s="35">
        <v>0</v>
      </c>
      <c r="BR164" s="41"/>
      <c r="BS164" s="35">
        <v>0</v>
      </c>
      <c r="BT164" s="35">
        <v>0</v>
      </c>
      <c r="BU164" s="35">
        <v>0</v>
      </c>
      <c r="BV164" s="35">
        <v>0</v>
      </c>
      <c r="BW164" s="35">
        <v>1</v>
      </c>
      <c r="BX164" s="41"/>
      <c r="BY164" s="34"/>
      <c r="BZ164" s="43" t="s">
        <v>165</v>
      </c>
      <c r="CA164" s="43" t="s">
        <v>165</v>
      </c>
      <c r="AOE164" s="28"/>
    </row>
    <row r="165" spans="1:79 1071:1071" s="27" customFormat="1">
      <c r="A165" s="32">
        <f t="shared" si="197"/>
        <v>4</v>
      </c>
      <c r="B165" s="32"/>
      <c r="C165" s="32" t="s">
        <v>100</v>
      </c>
      <c r="D165" s="32"/>
      <c r="E165" s="34" t="s">
        <v>101</v>
      </c>
      <c r="F165" s="34"/>
      <c r="G165" s="34"/>
      <c r="H165" s="116"/>
      <c r="I165" s="36" t="str">
        <f t="shared" si="193"/>
        <v/>
      </c>
      <c r="J165" s="36"/>
      <c r="K165" s="116" t="str">
        <f t="shared" si="194"/>
        <v/>
      </c>
      <c r="L165" s="36"/>
      <c r="M165" s="36"/>
      <c r="N165" s="36"/>
      <c r="O165" s="132"/>
      <c r="P165" s="37" t="str">
        <f t="shared" si="198"/>
        <v>{"id":"4","filename":"004_how have you been","role":"mask","text":"Its good to see you again. How have you been?","gpt_emotion":"","gpt_tone":"","animate":{"pre":"judge","post":"","next_state":""},"azure":{"style":"","degree":0,"pause":0,"pitch":-5,"rate":-10,"volume":0},"emotion":{"sadness":0,"joy":1,"fear":0,"disgust":0,"anger":0},"sgcom":{"mood":"negative","scale":-1}}</v>
      </c>
      <c r="Q165" s="37"/>
      <c r="R165" s="35"/>
      <c r="S165" s="35"/>
      <c r="T165" s="137"/>
      <c r="U165" s="39"/>
      <c r="V165" s="35" t="str">
        <f t="shared" si="199"/>
        <v>/opt/homebrew/bin/osc --host 10.10.10.10:5918 say  "{#Qid#Q:#Q4#Q#C#Qfilename#Q:#Q004_how#Shave#Syou#Sbeen#Q#C#Qrole#Q:#Qmask#Q#C#Qtext#Q:#QIts#Sgood#Sto#Ssee#Syou#Sagain.#SHow#Shave#Syou#Sbeen?#Q#C#Qgpt_emotion#Q:#Q#Q#C#Qgpt_tone#Q:#Q#Q#C#Qanimate#Q:{#Qpre#Q:#Qjudge#Q#C#Qpost#Q:#Q#Q#C#Qnext_state#Q:#Q#Q}#C#Qazure#Q:{#Qstyle#Q:#Q#Q#C#Qdegree#Q:0#C#Qpause#Q:0#C#Qpitch#Q:-5#C#Qrate#Q:-10#C#Qvolume#Q:0}#C#Qemotion#Q:{#Qsadness#Q:0#C#Qjoy#Q:1#C#Qfear#Q:0#C#Qdisgust#Q:0#C#Qanger#Q:0}#C#Qsgcom#Q:{#Qmood#Q:#Qnegative#Q#C#Qscale#Q:-1}}"</v>
      </c>
      <c r="W165" s="36" t="str">
        <f t="shared" si="200"/>
        <v>/opt/homebrew/bin/sendosc 10.10.10.10 5918 say s {\"id\":\"4\",\"filename\":\"004_how\ have\ you\ been\",\"role\":\"mask\",\"text\":\"Its\ good\ to\ see\ you\ again.\ How\ have\ you\ been\?\",\"gpt_emotion\":\"\",\"gpt_tone\":\"\",\"animate\":{\"pre\":\"judge\",\"post\":\"\",\"next_state\":\"\"\},\"azure\":{\"style\":\"\",\"degree\":0,\"pause\":0,\"pitch\":-5,\"rate\":-10,\"volume\":0\},\"emotion\":{\"sadness\":0,\"joy\":1,\"fear\":0,\"disgust\":0,\"anger\":0\},\"sgcom\":{\"mood\":\"negative\",\"scale\":-1\}\}</v>
      </c>
      <c r="X165" s="36" t="str">
        <f t="shared" si="201"/>
        <v>{#Qid#Q:#Q4#Q#C#Qfilename#Q:#Q004_how#Shave#Syou#Sbeen#Q#C#Qrole#Q:#Qmask#Q#C#Qtext#Q:#QIts#Sgood#Sto#Ssee#Syou#Sagain.#SHow#Shave#Syou#Sbeen?#Q#C#Qgpt_emotion#Q:#Q#Q#C#Qgpt_tone#Q:#Q#Q#C#Qanimate#Q:{#Qpre#Q:#Qjudge#Q#C#Qpost#Q:#Q#Q#C#Qnext_state#Q:#Q#Q}#C#Qazure#Q:{#Qstyle#Q:#Q#Q#C#Qdegree#Q:0#C#Qpause#Q:0#C#Qpitch#Q:-5#C#Qrate#Q:-10#C#Qvolume#Q:0}#C#Qemotion#Q:{#Qsadness#Q:0#C#Qjoy#Q:1#C#Qfear#Q:0#C#Qdisgust#Q:0#C#Qanger#Q:0}#C#Qsgcom#Q:{#Qmood#Q:#Qnegative#Q#C#Qscale#Q:-1}}</v>
      </c>
      <c r="Y165" s="40" t="s">
        <v>102</v>
      </c>
      <c r="Z165" s="36" t="str">
        <f t="shared" si="202"/>
        <v>say</v>
      </c>
      <c r="AA165" s="36"/>
      <c r="AB165" s="36" t="str" cm="1">
        <f t="array" ref="AB165">IF(C165="observe",channel_av_observe,"") &amp; IF(C165="register",channel_av_register,"")  &amp; IF(C165="listen",channel_av_listen,"")</f>
        <v/>
      </c>
      <c r="AC165" s="36" t="str">
        <f t="shared" si="203"/>
        <v/>
      </c>
      <c r="AD165" s="36" t="str">
        <f t="shared" si="204"/>
        <v/>
      </c>
      <c r="AE165" s="42" t="s">
        <v>103</v>
      </c>
      <c r="AF165" s="37" t="s">
        <v>104</v>
      </c>
      <c r="AG165" s="37"/>
      <c r="AH165" s="37" t="s">
        <v>329</v>
      </c>
      <c r="AI165" s="37"/>
      <c r="AJ165" s="114">
        <f t="shared" si="205"/>
        <v>4</v>
      </c>
      <c r="AK165" s="56" t="str">
        <f t="shared" si="206"/>
        <v>004_how have you been</v>
      </c>
      <c r="AL165" s="37"/>
      <c r="AM165" s="133"/>
      <c r="AN165" s="37"/>
      <c r="AO165" s="37"/>
      <c r="AP165" s="37"/>
      <c r="AQ165" s="37"/>
      <c r="AR165" s="37"/>
      <c r="AS165" s="37"/>
      <c r="AT165" s="37"/>
      <c r="AU165" s="37"/>
      <c r="AV165" s="37"/>
      <c r="AW165" s="37"/>
      <c r="AX165" s="37"/>
      <c r="AY165" s="37"/>
      <c r="AZ165" s="37"/>
      <c r="BA165" s="37"/>
      <c r="BB165" s="37"/>
      <c r="BC165" s="41"/>
      <c r="BD165" s="42"/>
      <c r="BE165" s="42"/>
      <c r="BF165" s="41"/>
      <c r="BG165" s="108" t="s">
        <v>335</v>
      </c>
      <c r="BH165" s="108"/>
      <c r="BI165" s="108" t="s">
        <v>77</v>
      </c>
      <c r="BJ165" s="110" t="s">
        <v>331</v>
      </c>
      <c r="BK165" s="41"/>
      <c r="BL165" s="42"/>
      <c r="BM165" s="35">
        <v>0</v>
      </c>
      <c r="BN165" s="35">
        <v>0</v>
      </c>
      <c r="BO165" s="35">
        <v>-5</v>
      </c>
      <c r="BP165" s="35">
        <v>-10</v>
      </c>
      <c r="BQ165" s="35">
        <v>0</v>
      </c>
      <c r="BR165" s="41"/>
      <c r="BS165" s="35">
        <v>0</v>
      </c>
      <c r="BT165" s="35">
        <v>1</v>
      </c>
      <c r="BU165" s="35">
        <v>0</v>
      </c>
      <c r="BV165" s="35">
        <v>0</v>
      </c>
      <c r="BW165" s="35">
        <v>0</v>
      </c>
      <c r="BX165" s="41"/>
      <c r="BY165" s="34" t="s">
        <v>336</v>
      </c>
      <c r="BZ165" s="43" t="s">
        <v>165</v>
      </c>
      <c r="CA165" s="43" t="s">
        <v>165</v>
      </c>
      <c r="AOE165" s="28"/>
    </row>
    <row r="166" spans="1:79 1071:1071" s="27" customFormat="1">
      <c r="A166" s="32">
        <f t="shared" si="197"/>
        <v>5</v>
      </c>
      <c r="B166" s="32"/>
      <c r="C166" s="32" t="s">
        <v>100</v>
      </c>
      <c r="D166" s="32"/>
      <c r="E166" s="34" t="s">
        <v>101</v>
      </c>
      <c r="F166" s="34"/>
      <c r="G166" s="34"/>
      <c r="H166" s="116"/>
      <c r="I166" s="36" t="str">
        <f t="shared" si="193"/>
        <v/>
      </c>
      <c r="J166" s="36"/>
      <c r="K166" s="116" t="str">
        <f t="shared" si="194"/>
        <v/>
      </c>
      <c r="L166" s="36"/>
      <c r="M166" s="36"/>
      <c r="N166" s="36"/>
      <c r="O166" s="132"/>
      <c r="P166" s="37" t="str">
        <f t="shared" si="198"/>
        <v>{"id":"5","filename":"005_how have you been","role":"mask","text":"Its good to see you again. How have you been?","gpt_emotion":"","gpt_tone":"","animate":{"pre":"pounder","post":"","next_state":""},"azure":{"style":"","degree":0,"pause":0,"pitch":-5,"rate":-10,"volume":0},"emotion":{"sadness":0,"joy":1,"fear":0,"disgust":0,"anger":0},"sgcom":{"mood":"","scale":-1}}</v>
      </c>
      <c r="Q166" s="37"/>
      <c r="R166" s="35"/>
      <c r="S166" s="35"/>
      <c r="T166" s="137"/>
      <c r="U166" s="39"/>
      <c r="V166" s="35" t="str">
        <f t="shared" si="199"/>
        <v>/opt/homebrew/bin/osc --host 10.10.10.10:5918 say  "{#Qid#Q:#Q5#Q#C#Qfilename#Q:#Q005_how#Shave#Syou#Sbeen#Q#C#Qrole#Q:#Qmask#Q#C#Qtext#Q:#QIts#Sgood#Sto#Ssee#Syou#Sagain.#SHow#Shave#Syou#Sbeen?#Q#C#Qgpt_emotion#Q:#Q#Q#C#Qgpt_tone#Q:#Q#Q#C#Qanimate#Q:{#Qpre#Q:#Qpounder#Q#C#Qpost#Q:#Q#Q#C#Qnext_state#Q:#Q#Q}#C#Qazure#Q:{#Qstyle#Q:#Q#Q#C#Qdegree#Q:0#C#Qpause#Q:0#C#Qpitch#Q:-5#C#Qrate#Q:-10#C#Qvolume#Q:0}#C#Qemotion#Q:{#Qsadness#Q:0#C#Qjoy#Q:1#C#Qfear#Q:0#C#Qdisgust#Q:0#C#Qanger#Q:0}#C#Qsgcom#Q:{#Qmood#Q:#Q#Q#C#Qscale#Q:-1}}"</v>
      </c>
      <c r="W166" s="36" t="str">
        <f t="shared" si="200"/>
        <v>/opt/homebrew/bin/sendosc 10.10.10.10 5918 say s {\"id\":\"5\",\"filename\":\"005_how\ have\ you\ been\",\"role\":\"mask\",\"text\":\"Its\ good\ to\ see\ you\ again.\ How\ have\ you\ been\?\",\"gpt_emotion\":\"\",\"gpt_tone\":\"\",\"animate\":{\"pre\":\"pounder\",\"post\":\"\",\"next_state\":\"\"\},\"azure\":{\"style\":\"\",\"degree\":0,\"pause\":0,\"pitch\":-5,\"rate\":-10,\"volume\":0\},\"emotion\":{\"sadness\":0,\"joy\":1,\"fear\":0,\"disgust\":0,\"anger\":0\},\"sgcom\":{\"mood\":\"\",\"scale\":-1\}\}</v>
      </c>
      <c r="X166" s="36" t="str">
        <f t="shared" si="201"/>
        <v>{#Qid#Q:#Q5#Q#C#Qfilename#Q:#Q005_how#Shave#Syou#Sbeen#Q#C#Qrole#Q:#Qmask#Q#C#Qtext#Q:#QIts#Sgood#Sto#Ssee#Syou#Sagain.#SHow#Shave#Syou#Sbeen?#Q#C#Qgpt_emotion#Q:#Q#Q#C#Qgpt_tone#Q:#Q#Q#C#Qanimate#Q:{#Qpre#Q:#Qpounder#Q#C#Qpost#Q:#Q#Q#C#Qnext_state#Q:#Q#Q}#C#Qazure#Q:{#Qstyle#Q:#Q#Q#C#Qdegree#Q:0#C#Qpause#Q:0#C#Qpitch#Q:-5#C#Qrate#Q:-10#C#Qvolume#Q:0}#C#Qemotion#Q:{#Qsadness#Q:0#C#Qjoy#Q:1#C#Qfear#Q:0#C#Qdisgust#Q:0#C#Qanger#Q:0}#C#Qsgcom#Q:{#Qmood#Q:#Q#Q#C#Qscale#Q:-1}}</v>
      </c>
      <c r="Y166" s="40" t="s">
        <v>102</v>
      </c>
      <c r="Z166" s="36" t="str">
        <f t="shared" si="202"/>
        <v>say</v>
      </c>
      <c r="AA166" s="36"/>
      <c r="AB166" s="36" t="str" cm="1">
        <f t="array" ref="AB166">IF(C166="observe",channel_av_observe,"") &amp; IF(C166="register",channel_av_register,"")  &amp; IF(C166="listen",channel_av_listen,"")</f>
        <v/>
      </c>
      <c r="AC166" s="36" t="str">
        <f t="shared" si="203"/>
        <v/>
      </c>
      <c r="AD166" s="36" t="str">
        <f t="shared" si="204"/>
        <v/>
      </c>
      <c r="AE166" s="42" t="s">
        <v>103</v>
      </c>
      <c r="AF166" s="37" t="s">
        <v>104</v>
      </c>
      <c r="AG166" s="37"/>
      <c r="AH166" s="37" t="s">
        <v>329</v>
      </c>
      <c r="AI166" s="37"/>
      <c r="AJ166" s="114">
        <f t="shared" si="205"/>
        <v>5</v>
      </c>
      <c r="AK166" s="56" t="str">
        <f t="shared" si="206"/>
        <v>005_how have you been</v>
      </c>
      <c r="AL166" s="37"/>
      <c r="AM166" s="133"/>
      <c r="AN166" s="37"/>
      <c r="AO166" s="37"/>
      <c r="AP166" s="37"/>
      <c r="AQ166" s="37"/>
      <c r="AR166" s="37"/>
      <c r="AS166" s="37"/>
      <c r="AT166" s="37"/>
      <c r="AU166" s="37"/>
      <c r="AV166" s="37"/>
      <c r="AW166" s="37"/>
      <c r="AX166" s="37"/>
      <c r="AY166" s="37"/>
      <c r="AZ166" s="37"/>
      <c r="BA166" s="37"/>
      <c r="BB166" s="37"/>
      <c r="BC166" s="41"/>
      <c r="BD166" s="42"/>
      <c r="BE166" s="42"/>
      <c r="BF166" s="41"/>
      <c r="BG166" s="108" t="s">
        <v>337</v>
      </c>
      <c r="BH166" s="108"/>
      <c r="BI166" s="108" t="s">
        <v>77</v>
      </c>
      <c r="BJ166" s="110" t="s">
        <v>338</v>
      </c>
      <c r="BK166" s="41"/>
      <c r="BL166" s="42"/>
      <c r="BM166" s="35">
        <v>0</v>
      </c>
      <c r="BN166" s="35">
        <v>0</v>
      </c>
      <c r="BO166" s="35">
        <v>-5</v>
      </c>
      <c r="BP166" s="35">
        <v>-10</v>
      </c>
      <c r="BQ166" s="35">
        <v>0</v>
      </c>
      <c r="BR166" s="41"/>
      <c r="BS166" s="35">
        <v>0</v>
      </c>
      <c r="BT166" s="35">
        <v>1</v>
      </c>
      <c r="BU166" s="35">
        <v>0</v>
      </c>
      <c r="BV166" s="35">
        <v>0</v>
      </c>
      <c r="BW166" s="35">
        <v>0</v>
      </c>
      <c r="BX166" s="41"/>
      <c r="BY166" s="34"/>
      <c r="BZ166" s="43" t="s">
        <v>165</v>
      </c>
      <c r="CA166" s="43" t="s">
        <v>165</v>
      </c>
      <c r="AOE166" s="28"/>
    </row>
    <row r="167" spans="1:79 1071:1071" s="27" customFormat="1">
      <c r="A167" s="32">
        <f t="shared" si="197"/>
        <v>6</v>
      </c>
      <c r="B167" s="32"/>
      <c r="C167" s="32" t="s">
        <v>100</v>
      </c>
      <c r="D167" s="32"/>
      <c r="E167" s="34" t="s">
        <v>101</v>
      </c>
      <c r="F167" s="34"/>
      <c r="G167" s="34"/>
      <c r="H167" s="116"/>
      <c r="I167" s="36" t="str">
        <f t="shared" si="193"/>
        <v/>
      </c>
      <c r="J167" s="36"/>
      <c r="K167" s="116" t="str">
        <f t="shared" si="194"/>
        <v/>
      </c>
      <c r="L167" s="36"/>
      <c r="M167" s="36"/>
      <c r="N167" s="36"/>
      <c r="O167" s="132"/>
      <c r="P167" s="37" t="str">
        <f t="shared" si="198"/>
        <v>{"id":"6","filename":"006_how have you been","role":"mask","text":"Its good to see you again. How have you been?","gpt_emotion":"","gpt_tone":"","animate":{"pre":"scanning","post":"","next_state":""},"azure":{"style":"","degree":0,"pause":0,"pitch":-5,"rate":-10,"volume":0},"emotion":{"sadness":0,"joy":1,"fear":0,"disgust":0,"anger":0},"sgcom":{"mood":"","scale":-1}}</v>
      </c>
      <c r="Q167" s="37"/>
      <c r="R167" s="35"/>
      <c r="S167" s="35"/>
      <c r="T167" s="137"/>
      <c r="U167" s="39"/>
      <c r="V167" s="35" t="str">
        <f t="shared" si="199"/>
        <v>/opt/homebrew/bin/osc --host 10.10.10.10:5918 say  "{#Qid#Q:#Q6#Q#C#Qfilename#Q:#Q006_how#Shave#Syou#Sbeen#Q#C#Qrole#Q:#Qmask#Q#C#Qtext#Q:#QIts#Sgood#Sto#Ssee#Syou#Sagain.#SHow#Shave#Syou#Sbeen?#Q#C#Qgpt_emotion#Q:#Q#Q#C#Qgpt_tone#Q:#Q#Q#C#Qanimate#Q:{#Qpre#Q:#Qscanning#Q#C#Qpost#Q:#Q#Q#C#Qnext_state#Q:#Q#Q}#C#Qazure#Q:{#Qstyle#Q:#Q#Q#C#Qdegree#Q:0#C#Qpause#Q:0#C#Qpitch#Q:-5#C#Qrate#Q:-10#C#Qvolume#Q:0}#C#Qemotion#Q:{#Qsadness#Q:0#C#Qjoy#Q:1#C#Qfear#Q:0#C#Qdisgust#Q:0#C#Qanger#Q:0}#C#Qsgcom#Q:{#Qmood#Q:#Q#Q#C#Qscale#Q:-1}}"</v>
      </c>
      <c r="W167" s="36" t="str">
        <f t="shared" si="200"/>
        <v>/opt/homebrew/bin/sendosc 10.10.10.10 5918 say s {\"id\":\"6\",\"filename\":\"006_how\ have\ you\ been\",\"role\":\"mask\",\"text\":\"Its\ good\ to\ see\ you\ again.\ How\ have\ you\ been\?\",\"gpt_emotion\":\"\",\"gpt_tone\":\"\",\"animate\":{\"pre\":\"scanning\",\"post\":\"\",\"next_state\":\"\"\},\"azure\":{\"style\":\"\",\"degree\":0,\"pause\":0,\"pitch\":-5,\"rate\":-10,\"volume\":0\},\"emotion\":{\"sadness\":0,\"joy\":1,\"fear\":0,\"disgust\":0,\"anger\":0\},\"sgcom\":{\"mood\":\"\",\"scale\":-1\}\}</v>
      </c>
      <c r="X167" s="36" t="str">
        <f t="shared" si="201"/>
        <v>{#Qid#Q:#Q6#Q#C#Qfilename#Q:#Q006_how#Shave#Syou#Sbeen#Q#C#Qrole#Q:#Qmask#Q#C#Qtext#Q:#QIts#Sgood#Sto#Ssee#Syou#Sagain.#SHow#Shave#Syou#Sbeen?#Q#C#Qgpt_emotion#Q:#Q#Q#C#Qgpt_tone#Q:#Q#Q#C#Qanimate#Q:{#Qpre#Q:#Qscanning#Q#C#Qpost#Q:#Q#Q#C#Qnext_state#Q:#Q#Q}#C#Qazure#Q:{#Qstyle#Q:#Q#Q#C#Qdegree#Q:0#C#Qpause#Q:0#C#Qpitch#Q:-5#C#Qrate#Q:-10#C#Qvolume#Q:0}#C#Qemotion#Q:{#Qsadness#Q:0#C#Qjoy#Q:1#C#Qfear#Q:0#C#Qdisgust#Q:0#C#Qanger#Q:0}#C#Qsgcom#Q:{#Qmood#Q:#Q#Q#C#Qscale#Q:-1}}</v>
      </c>
      <c r="Y167" s="40" t="s">
        <v>102</v>
      </c>
      <c r="Z167" s="36" t="str">
        <f t="shared" si="202"/>
        <v>say</v>
      </c>
      <c r="AA167" s="36"/>
      <c r="AB167" s="36" t="str" cm="1">
        <f t="array" ref="AB167">IF(C167="observe",channel_av_observe,"") &amp; IF(C167="register",channel_av_register,"")  &amp; IF(C167="listen",channel_av_listen,"")</f>
        <v/>
      </c>
      <c r="AC167" s="36" t="str">
        <f t="shared" si="203"/>
        <v/>
      </c>
      <c r="AD167" s="36" t="str">
        <f t="shared" si="204"/>
        <v/>
      </c>
      <c r="AE167" s="42" t="s">
        <v>103</v>
      </c>
      <c r="AF167" s="37" t="s">
        <v>104</v>
      </c>
      <c r="AG167" s="37"/>
      <c r="AH167" s="37" t="s">
        <v>329</v>
      </c>
      <c r="AI167" s="37"/>
      <c r="AJ167" s="114">
        <f t="shared" si="205"/>
        <v>6</v>
      </c>
      <c r="AK167" s="56" t="str">
        <f t="shared" si="206"/>
        <v>006_how have you been</v>
      </c>
      <c r="AL167" s="37"/>
      <c r="AM167" s="133"/>
      <c r="AN167" s="37"/>
      <c r="AO167" s="37"/>
      <c r="AP167" s="37"/>
      <c r="AQ167" s="37"/>
      <c r="AR167" s="37"/>
      <c r="AS167" s="37"/>
      <c r="AT167" s="37"/>
      <c r="AU167" s="37"/>
      <c r="AV167" s="37"/>
      <c r="AW167" s="37"/>
      <c r="AX167" s="37"/>
      <c r="AY167" s="37"/>
      <c r="AZ167" s="37"/>
      <c r="BA167" s="37"/>
      <c r="BB167" s="37"/>
      <c r="BC167" s="41"/>
      <c r="BD167" s="42"/>
      <c r="BE167" s="42"/>
      <c r="BF167" s="41"/>
      <c r="BG167" s="108" t="s">
        <v>339</v>
      </c>
      <c r="BH167" s="108"/>
      <c r="BI167" s="108" t="s">
        <v>77</v>
      </c>
      <c r="BJ167" s="110" t="s">
        <v>331</v>
      </c>
      <c r="BK167" s="41"/>
      <c r="BL167" s="42"/>
      <c r="BM167" s="35">
        <v>0</v>
      </c>
      <c r="BN167" s="35">
        <v>0</v>
      </c>
      <c r="BO167" s="35">
        <v>-5</v>
      </c>
      <c r="BP167" s="35">
        <v>-10</v>
      </c>
      <c r="BQ167" s="35">
        <v>0</v>
      </c>
      <c r="BR167" s="41"/>
      <c r="BS167" s="35">
        <v>0</v>
      </c>
      <c r="BT167" s="35">
        <v>1</v>
      </c>
      <c r="BU167" s="35">
        <v>0</v>
      </c>
      <c r="BV167" s="35">
        <v>0</v>
      </c>
      <c r="BW167" s="35">
        <v>0</v>
      </c>
      <c r="BX167" s="41"/>
      <c r="BY167" s="34"/>
      <c r="BZ167" s="43" t="s">
        <v>165</v>
      </c>
      <c r="CA167" s="43" t="s">
        <v>165</v>
      </c>
      <c r="AOE167" s="28"/>
    </row>
    <row r="168" spans="1:79 1071:1071" s="27" customFormat="1">
      <c r="A168" s="32">
        <f t="shared" si="197"/>
        <v>7</v>
      </c>
      <c r="B168" s="32"/>
      <c r="C168" s="32" t="s">
        <v>100</v>
      </c>
      <c r="D168" s="32"/>
      <c r="E168" s="34" t="s">
        <v>101</v>
      </c>
      <c r="F168" s="34"/>
      <c r="G168" s="34"/>
      <c r="H168" s="116"/>
      <c r="I168" s="36" t="str">
        <f t="shared" si="193"/>
        <v/>
      </c>
      <c r="J168" s="36"/>
      <c r="K168" s="116" t="str">
        <f t="shared" si="194"/>
        <v/>
      </c>
      <c r="L168" s="36"/>
      <c r="M168" s="36"/>
      <c r="N168" s="36"/>
      <c r="O168" s="132"/>
      <c r="P168" s="37" t="str">
        <f t="shared" si="198"/>
        <v>{"id":"7","filename":"007_how have you been","role":"mask","text":"Its good to see you again. How have you been?","gpt_emotion":"","gpt_tone":"","animate":{"pre":"sceptic","post":"","next_state":""},"azure":{"style":"","degree":0,"pause":0,"pitch":-5,"rate":-10,"volume":0},"emotion":{"sadness":0,"joy":1,"fear":0,"disgust":0,"anger":0},"sgcom":{"mood":"","scale":-1}}</v>
      </c>
      <c r="Q168" s="37"/>
      <c r="R168" s="35"/>
      <c r="S168" s="35"/>
      <c r="T168" s="137"/>
      <c r="U168" s="39"/>
      <c r="V168" s="35" t="str">
        <f t="shared" si="199"/>
        <v>/opt/homebrew/bin/osc --host 10.10.10.10:5918 say  "{#Qid#Q:#Q7#Q#C#Qfilename#Q:#Q007_how#Shave#Syou#Sbeen#Q#C#Qrole#Q:#Qmask#Q#C#Qtext#Q:#QIts#Sgood#Sto#Ssee#Syou#Sagain.#SHow#Shave#Syou#Sbeen?#Q#C#Qgpt_emotion#Q:#Q#Q#C#Qgpt_tone#Q:#Q#Q#C#Qanimate#Q:{#Qpre#Q:#Qsceptic#Q#C#Qpost#Q:#Q#Q#C#Qnext_state#Q:#Q#Q}#C#Qazure#Q:{#Qstyle#Q:#Q#Q#C#Qdegree#Q:0#C#Qpause#Q:0#C#Qpitch#Q:-5#C#Qrate#Q:-10#C#Qvolume#Q:0}#C#Qemotion#Q:{#Qsadness#Q:0#C#Qjoy#Q:1#C#Qfear#Q:0#C#Qdisgust#Q:0#C#Qanger#Q:0}#C#Qsgcom#Q:{#Qmood#Q:#Q#Q#C#Qscale#Q:-1}}"</v>
      </c>
      <c r="W168" s="36" t="str">
        <f t="shared" si="200"/>
        <v>/opt/homebrew/bin/sendosc 10.10.10.10 5918 say s {\"id\":\"7\",\"filename\":\"007_how\ have\ you\ been\",\"role\":\"mask\",\"text\":\"Its\ good\ to\ see\ you\ again.\ How\ have\ you\ been\?\",\"gpt_emotion\":\"\",\"gpt_tone\":\"\",\"animate\":{\"pre\":\"sceptic\",\"post\":\"\",\"next_state\":\"\"\},\"azure\":{\"style\":\"\",\"degree\":0,\"pause\":0,\"pitch\":-5,\"rate\":-10,\"volume\":0\},\"emotion\":{\"sadness\":0,\"joy\":1,\"fear\":0,\"disgust\":0,\"anger\":0\},\"sgcom\":{\"mood\":\"\",\"scale\":-1\}\}</v>
      </c>
      <c r="X168" s="36" t="str">
        <f t="shared" si="201"/>
        <v>{#Qid#Q:#Q7#Q#C#Qfilename#Q:#Q007_how#Shave#Syou#Sbeen#Q#C#Qrole#Q:#Qmask#Q#C#Qtext#Q:#QIts#Sgood#Sto#Ssee#Syou#Sagain.#SHow#Shave#Syou#Sbeen?#Q#C#Qgpt_emotion#Q:#Q#Q#C#Qgpt_tone#Q:#Q#Q#C#Qanimate#Q:{#Qpre#Q:#Qsceptic#Q#C#Qpost#Q:#Q#Q#C#Qnext_state#Q:#Q#Q}#C#Qazure#Q:{#Qstyle#Q:#Q#Q#C#Qdegree#Q:0#C#Qpause#Q:0#C#Qpitch#Q:-5#C#Qrate#Q:-10#C#Qvolume#Q:0}#C#Qemotion#Q:{#Qsadness#Q:0#C#Qjoy#Q:1#C#Qfear#Q:0#C#Qdisgust#Q:0#C#Qanger#Q:0}#C#Qsgcom#Q:{#Qmood#Q:#Q#Q#C#Qscale#Q:-1}}</v>
      </c>
      <c r="Y168" s="40" t="s">
        <v>102</v>
      </c>
      <c r="Z168" s="36" t="str">
        <f t="shared" si="202"/>
        <v>say</v>
      </c>
      <c r="AA168" s="36"/>
      <c r="AB168" s="36" t="str" cm="1">
        <f t="array" ref="AB168">IF(C168="observe",channel_av_observe,"") &amp; IF(C168="register",channel_av_register,"")  &amp; IF(C168="listen",channel_av_listen,"")</f>
        <v/>
      </c>
      <c r="AC168" s="36" t="str">
        <f t="shared" si="203"/>
        <v/>
      </c>
      <c r="AD168" s="36" t="str">
        <f t="shared" si="204"/>
        <v/>
      </c>
      <c r="AE168" s="42" t="s">
        <v>103</v>
      </c>
      <c r="AF168" s="37" t="s">
        <v>104</v>
      </c>
      <c r="AG168" s="37"/>
      <c r="AH168" s="37" t="s">
        <v>329</v>
      </c>
      <c r="AI168" s="37"/>
      <c r="AJ168" s="114">
        <f t="shared" si="205"/>
        <v>7</v>
      </c>
      <c r="AK168" s="56" t="str">
        <f t="shared" si="206"/>
        <v>007_how have you been</v>
      </c>
      <c r="AL168" s="37"/>
      <c r="AM168" s="133"/>
      <c r="AN168" s="37"/>
      <c r="AO168" s="37"/>
      <c r="AP168" s="37"/>
      <c r="AQ168" s="37"/>
      <c r="AR168" s="37"/>
      <c r="AS168" s="37"/>
      <c r="AT168" s="37"/>
      <c r="AU168" s="37"/>
      <c r="AV168" s="37"/>
      <c r="AW168" s="37"/>
      <c r="AX168" s="37"/>
      <c r="AY168" s="37"/>
      <c r="AZ168" s="37"/>
      <c r="BA168" s="37"/>
      <c r="BB168" s="37"/>
      <c r="BC168" s="41"/>
      <c r="BD168" s="42"/>
      <c r="BE168" s="42"/>
      <c r="BF168" s="41"/>
      <c r="BG168" s="108" t="s">
        <v>340</v>
      </c>
      <c r="BH168" s="108"/>
      <c r="BI168" s="108" t="s">
        <v>77</v>
      </c>
      <c r="BJ168" s="110" t="s">
        <v>341</v>
      </c>
      <c r="BK168" s="41"/>
      <c r="BL168" s="42"/>
      <c r="BM168" s="35">
        <v>0</v>
      </c>
      <c r="BN168" s="35">
        <v>0</v>
      </c>
      <c r="BO168" s="35">
        <v>-5</v>
      </c>
      <c r="BP168" s="35">
        <v>-10</v>
      </c>
      <c r="BQ168" s="35">
        <v>0</v>
      </c>
      <c r="BR168" s="41"/>
      <c r="BS168" s="35">
        <v>0</v>
      </c>
      <c r="BT168" s="35">
        <v>1</v>
      </c>
      <c r="BU168" s="35">
        <v>0</v>
      </c>
      <c r="BV168" s="35">
        <v>0</v>
      </c>
      <c r="BW168" s="35">
        <v>0</v>
      </c>
      <c r="BX168" s="41"/>
      <c r="BY168" s="34"/>
      <c r="BZ168" s="43" t="s">
        <v>165</v>
      </c>
      <c r="CA168" s="43" t="s">
        <v>165</v>
      </c>
      <c r="AOE168" s="28"/>
    </row>
    <row r="169" spans="1:79 1071:1071" s="27" customFormat="1">
      <c r="A169" s="32">
        <f t="shared" si="197"/>
        <v>8</v>
      </c>
      <c r="B169" s="32"/>
      <c r="C169" s="32" t="s">
        <v>100</v>
      </c>
      <c r="D169" s="32"/>
      <c r="E169" s="34" t="s">
        <v>101</v>
      </c>
      <c r="F169" s="34"/>
      <c r="G169" s="34"/>
      <c r="H169" s="116"/>
      <c r="I169" s="36" t="str">
        <f t="shared" si="193"/>
        <v/>
      </c>
      <c r="J169" s="36"/>
      <c r="K169" s="116" t="str">
        <f t="shared" si="194"/>
        <v/>
      </c>
      <c r="L169" s="36"/>
      <c r="M169" s="36"/>
      <c r="N169" s="36"/>
      <c r="O169" s="132"/>
      <c r="P169" s="37" t="str">
        <f t="shared" si="198"/>
        <v>{"id":"8","filename":"008_how have you been","role":"mask","text":"Its good to see you again. How have you been?","gpt_emotion":"","gpt_tone":"","animate":{"pre":"shrug","post":"","next_state":""},"azure":{"style":"","degree":0,"pause":0,"pitch":-5,"rate":-10,"volume":0},"emotion":{"sadness":0,"joy":1,"fear":0,"disgust":0,"anger":0},"sgcom":{"mood":"","scale":-1}}</v>
      </c>
      <c r="Q169" s="37"/>
      <c r="R169" s="35"/>
      <c r="S169" s="35"/>
      <c r="T169" s="137"/>
      <c r="U169" s="39"/>
      <c r="V169" s="35" t="str">
        <f t="shared" si="199"/>
        <v>/opt/homebrew/bin/osc --host 10.10.10.10:5918 say  "{#Qid#Q:#Q8#Q#C#Qfilename#Q:#Q008_how#Shave#Syou#Sbeen#Q#C#Qrole#Q:#Qmask#Q#C#Qtext#Q:#QIts#Sgood#Sto#Ssee#Syou#Sagain.#SHow#Shave#Syou#Sbeen?#Q#C#Qgpt_emotion#Q:#Q#Q#C#Qgpt_tone#Q:#Q#Q#C#Qanimate#Q:{#Qpre#Q:#Qshrug#Q#C#Qpost#Q:#Q#Q#C#Qnext_state#Q:#Q#Q}#C#Qazure#Q:{#Qstyle#Q:#Q#Q#C#Qdegree#Q:0#C#Qpause#Q:0#C#Qpitch#Q:-5#C#Qrate#Q:-10#C#Qvolume#Q:0}#C#Qemotion#Q:{#Qsadness#Q:0#C#Qjoy#Q:1#C#Qfear#Q:0#C#Qdisgust#Q:0#C#Qanger#Q:0}#C#Qsgcom#Q:{#Qmood#Q:#Q#Q#C#Qscale#Q:-1}}"</v>
      </c>
      <c r="W169" s="36" t="str">
        <f t="shared" si="200"/>
        <v>/opt/homebrew/bin/sendosc 10.10.10.10 5918 say s {\"id\":\"8\",\"filename\":\"008_how\ have\ you\ been\",\"role\":\"mask\",\"text\":\"Its\ good\ to\ see\ you\ again.\ How\ have\ you\ been\?\",\"gpt_emotion\":\"\",\"gpt_tone\":\"\",\"animate\":{\"pre\":\"shrug\",\"post\":\"\",\"next_state\":\"\"\},\"azure\":{\"style\":\"\",\"degree\":0,\"pause\":0,\"pitch\":-5,\"rate\":-10,\"volume\":0\},\"emotion\":{\"sadness\":0,\"joy\":1,\"fear\":0,\"disgust\":0,\"anger\":0\},\"sgcom\":{\"mood\":\"\",\"scale\":-1\}\}</v>
      </c>
      <c r="X169" s="36" t="str">
        <f t="shared" si="201"/>
        <v>{#Qid#Q:#Q8#Q#C#Qfilename#Q:#Q008_how#Shave#Syou#Sbeen#Q#C#Qrole#Q:#Qmask#Q#C#Qtext#Q:#QIts#Sgood#Sto#Ssee#Syou#Sagain.#SHow#Shave#Syou#Sbeen?#Q#C#Qgpt_emotion#Q:#Q#Q#C#Qgpt_tone#Q:#Q#Q#C#Qanimate#Q:{#Qpre#Q:#Qshrug#Q#C#Qpost#Q:#Q#Q#C#Qnext_state#Q:#Q#Q}#C#Qazure#Q:{#Qstyle#Q:#Q#Q#C#Qdegree#Q:0#C#Qpause#Q:0#C#Qpitch#Q:-5#C#Qrate#Q:-10#C#Qvolume#Q:0}#C#Qemotion#Q:{#Qsadness#Q:0#C#Qjoy#Q:1#C#Qfear#Q:0#C#Qdisgust#Q:0#C#Qanger#Q:0}#C#Qsgcom#Q:{#Qmood#Q:#Q#Q#C#Qscale#Q:-1}}</v>
      </c>
      <c r="Y169" s="40" t="s">
        <v>102</v>
      </c>
      <c r="Z169" s="36" t="str">
        <f t="shared" si="202"/>
        <v>say</v>
      </c>
      <c r="AA169" s="36"/>
      <c r="AB169" s="36" t="str" cm="1">
        <f t="array" ref="AB169">IF(C169="observe",channel_av_observe,"") &amp; IF(C169="register",channel_av_register,"")  &amp; IF(C169="listen",channel_av_listen,"")</f>
        <v/>
      </c>
      <c r="AC169" s="36" t="str">
        <f t="shared" si="203"/>
        <v/>
      </c>
      <c r="AD169" s="36" t="str">
        <f t="shared" si="204"/>
        <v/>
      </c>
      <c r="AE169" s="42" t="s">
        <v>103</v>
      </c>
      <c r="AF169" s="37" t="s">
        <v>104</v>
      </c>
      <c r="AG169" s="37"/>
      <c r="AH169" s="37" t="s">
        <v>329</v>
      </c>
      <c r="AI169" s="37"/>
      <c r="AJ169" s="114">
        <f t="shared" si="205"/>
        <v>8</v>
      </c>
      <c r="AK169" s="56" t="str">
        <f t="shared" si="206"/>
        <v>008_how have you been</v>
      </c>
      <c r="AL169" s="37"/>
      <c r="AM169" s="133"/>
      <c r="AN169" s="37"/>
      <c r="AO169" s="37"/>
      <c r="AP169" s="37"/>
      <c r="AQ169" s="37"/>
      <c r="AR169" s="37"/>
      <c r="AS169" s="37"/>
      <c r="AT169" s="37"/>
      <c r="AU169" s="37"/>
      <c r="AV169" s="37"/>
      <c r="AW169" s="37"/>
      <c r="AX169" s="37"/>
      <c r="AY169" s="37"/>
      <c r="AZ169" s="37"/>
      <c r="BA169" s="37"/>
      <c r="BB169" s="37"/>
      <c r="BC169" s="41"/>
      <c r="BD169" s="42"/>
      <c r="BE169" s="42"/>
      <c r="BF169" s="41"/>
      <c r="BG169" s="108" t="s">
        <v>342</v>
      </c>
      <c r="BH169" s="108"/>
      <c r="BI169" s="108" t="s">
        <v>77</v>
      </c>
      <c r="BJ169" s="110" t="s">
        <v>338</v>
      </c>
      <c r="BK169" s="41"/>
      <c r="BL169" s="42"/>
      <c r="BM169" s="35">
        <v>0</v>
      </c>
      <c r="BN169" s="35">
        <v>0</v>
      </c>
      <c r="BO169" s="35">
        <v>-5</v>
      </c>
      <c r="BP169" s="35">
        <v>-10</v>
      </c>
      <c r="BQ169" s="35">
        <v>0</v>
      </c>
      <c r="BR169" s="41"/>
      <c r="BS169" s="35">
        <v>0</v>
      </c>
      <c r="BT169" s="35">
        <v>1</v>
      </c>
      <c r="BU169" s="35">
        <v>0</v>
      </c>
      <c r="BV169" s="35">
        <v>0</v>
      </c>
      <c r="BW169" s="35">
        <v>0</v>
      </c>
      <c r="BX169" s="41"/>
      <c r="BY169" s="34"/>
      <c r="BZ169" s="43" t="s">
        <v>165</v>
      </c>
      <c r="CA169" s="43" t="s">
        <v>165</v>
      </c>
      <c r="AOE169" s="28"/>
    </row>
    <row r="170" spans="1:79 1071:1071" s="27" customFormat="1">
      <c r="A170" s="32">
        <f t="shared" si="197"/>
        <v>9</v>
      </c>
      <c r="B170" s="32"/>
      <c r="C170" s="32" t="s">
        <v>100</v>
      </c>
      <c r="D170" s="32"/>
      <c r="E170" s="34" t="s">
        <v>101</v>
      </c>
      <c r="F170" s="34"/>
      <c r="G170" s="34"/>
      <c r="H170" s="116"/>
      <c r="I170" s="36" t="str">
        <f t="shared" si="193"/>
        <v/>
      </c>
      <c r="J170" s="36"/>
      <c r="K170" s="116" t="str">
        <f t="shared" si="194"/>
        <v/>
      </c>
      <c r="L170" s="36"/>
      <c r="M170" s="36"/>
      <c r="N170" s="36"/>
      <c r="O170" s="132"/>
      <c r="P170" s="37" t="str">
        <f t="shared" si="198"/>
        <v>{"id":"9","filename":"009_how have you been","role":"mask","text":"Its good to see you again. How have you been?","gpt_emotion":"","gpt_tone":"","animate":{"pre":"eyeroll","post":"","next_state":""},"azure":{"style":"","degree":0,"pause":0,"pitch":-5,"rate":-10,"volume":0},"emotion":{"sadness":0,"joy":1,"fear":0,"disgust":0,"anger":0},"sgcom":{"mood":"","scale":-1}}</v>
      </c>
      <c r="Q170" s="37"/>
      <c r="R170" s="35"/>
      <c r="S170" s="35"/>
      <c r="T170" s="137"/>
      <c r="U170" s="39"/>
      <c r="V170" s="35" t="str">
        <f t="shared" si="199"/>
        <v>/opt/homebrew/bin/osc --host 10.10.10.10:5918 say  "{#Qid#Q:#Q9#Q#C#Qfilename#Q:#Q009_how#Shave#Syou#Sbeen#Q#C#Qrole#Q:#Qmask#Q#C#Qtext#Q:#QIts#Sgood#Sto#Ssee#Syou#Sagain.#SHow#Shave#Syou#Sbeen?#Q#C#Qgpt_emotion#Q:#Q#Q#C#Qgpt_tone#Q:#Q#Q#C#Qanimate#Q:{#Qpre#Q:#Qeyeroll#Q#C#Qpost#Q:#Q#Q#C#Qnext_state#Q:#Q#Q}#C#Qazure#Q:{#Qstyle#Q:#Q#Q#C#Qdegree#Q:0#C#Qpause#Q:0#C#Qpitch#Q:-5#C#Qrate#Q:-10#C#Qvolume#Q:0}#C#Qemotion#Q:{#Qsadness#Q:0#C#Qjoy#Q:1#C#Qfear#Q:0#C#Qdisgust#Q:0#C#Qanger#Q:0}#C#Qsgcom#Q:{#Qmood#Q:#Q#Q#C#Qscale#Q:-1}}"</v>
      </c>
      <c r="W170" s="36" t="str">
        <f t="shared" si="200"/>
        <v>/opt/homebrew/bin/sendosc 10.10.10.10 5918 say s {\"id\":\"9\",\"filename\":\"009_how\ have\ you\ been\",\"role\":\"mask\",\"text\":\"Its\ good\ to\ see\ you\ again.\ How\ have\ you\ been\?\",\"gpt_emotion\":\"\",\"gpt_tone\":\"\",\"animate\":{\"pre\":\"eyeroll\",\"post\":\"\",\"next_state\":\"\"\},\"azure\":{\"style\":\"\",\"degree\":0,\"pause\":0,\"pitch\":-5,\"rate\":-10,\"volume\":0\},\"emotion\":{\"sadness\":0,\"joy\":1,\"fear\":0,\"disgust\":0,\"anger\":0\},\"sgcom\":{\"mood\":\"\",\"scale\":-1\}\}</v>
      </c>
      <c r="X170" s="36" t="str">
        <f t="shared" si="201"/>
        <v>{#Qid#Q:#Q9#Q#C#Qfilename#Q:#Q009_how#Shave#Syou#Sbeen#Q#C#Qrole#Q:#Qmask#Q#C#Qtext#Q:#QIts#Sgood#Sto#Ssee#Syou#Sagain.#SHow#Shave#Syou#Sbeen?#Q#C#Qgpt_emotion#Q:#Q#Q#C#Qgpt_tone#Q:#Q#Q#C#Qanimate#Q:{#Qpre#Q:#Qeyeroll#Q#C#Qpost#Q:#Q#Q#C#Qnext_state#Q:#Q#Q}#C#Qazure#Q:{#Qstyle#Q:#Q#Q#C#Qdegree#Q:0#C#Qpause#Q:0#C#Qpitch#Q:-5#C#Qrate#Q:-10#C#Qvolume#Q:0}#C#Qemotion#Q:{#Qsadness#Q:0#C#Qjoy#Q:1#C#Qfear#Q:0#C#Qdisgust#Q:0#C#Qanger#Q:0}#C#Qsgcom#Q:{#Qmood#Q:#Q#Q#C#Qscale#Q:-1}}</v>
      </c>
      <c r="Y170" s="40" t="s">
        <v>102</v>
      </c>
      <c r="Z170" s="36" t="str">
        <f t="shared" si="202"/>
        <v>say</v>
      </c>
      <c r="AA170" s="36"/>
      <c r="AB170" s="36" t="str" cm="1">
        <f t="array" ref="AB170">IF(C170="observe",channel_av_observe,"") &amp; IF(C170="register",channel_av_register,"")  &amp; IF(C170="listen",channel_av_listen,"")</f>
        <v/>
      </c>
      <c r="AC170" s="36" t="str">
        <f t="shared" si="203"/>
        <v/>
      </c>
      <c r="AD170" s="36" t="str">
        <f t="shared" si="204"/>
        <v/>
      </c>
      <c r="AE170" s="42" t="s">
        <v>103</v>
      </c>
      <c r="AF170" s="37" t="s">
        <v>104</v>
      </c>
      <c r="AG170" s="37"/>
      <c r="AH170" s="37" t="s">
        <v>329</v>
      </c>
      <c r="AI170" s="37"/>
      <c r="AJ170" s="114">
        <f t="shared" si="205"/>
        <v>9</v>
      </c>
      <c r="AK170" s="56" t="str">
        <f t="shared" si="206"/>
        <v>009_how have you been</v>
      </c>
      <c r="AL170" s="37"/>
      <c r="AM170" s="133"/>
      <c r="AN170" s="37"/>
      <c r="AO170" s="37"/>
      <c r="AP170" s="37"/>
      <c r="AQ170" s="37"/>
      <c r="AR170" s="37"/>
      <c r="AS170" s="37"/>
      <c r="AT170" s="37"/>
      <c r="AU170" s="37"/>
      <c r="AV170" s="37"/>
      <c r="AW170" s="37"/>
      <c r="AX170" s="37"/>
      <c r="AY170" s="37"/>
      <c r="AZ170" s="37"/>
      <c r="BA170" s="37"/>
      <c r="BB170" s="37"/>
      <c r="BC170" s="41"/>
      <c r="BD170" s="42"/>
      <c r="BE170" s="42"/>
      <c r="BF170" s="41"/>
      <c r="BG170" s="108" t="s">
        <v>153</v>
      </c>
      <c r="BH170" s="104"/>
      <c r="BI170" s="108"/>
      <c r="BJ170" s="110" t="s">
        <v>331</v>
      </c>
      <c r="BK170" s="41"/>
      <c r="BL170" s="42"/>
      <c r="BM170" s="35">
        <v>0</v>
      </c>
      <c r="BN170" s="35">
        <v>0</v>
      </c>
      <c r="BO170" s="35">
        <v>-5</v>
      </c>
      <c r="BP170" s="35">
        <v>-10</v>
      </c>
      <c r="BQ170" s="35">
        <v>0</v>
      </c>
      <c r="BR170" s="41"/>
      <c r="BS170" s="35">
        <v>0</v>
      </c>
      <c r="BT170" s="35">
        <v>1</v>
      </c>
      <c r="BU170" s="35">
        <v>0</v>
      </c>
      <c r="BV170" s="35">
        <v>0</v>
      </c>
      <c r="BW170" s="35">
        <v>0</v>
      </c>
      <c r="BX170" s="41"/>
      <c r="BY170" s="34"/>
      <c r="BZ170" s="43" t="s">
        <v>165</v>
      </c>
      <c r="CA170" s="43" t="s">
        <v>165</v>
      </c>
      <c r="AOE170" s="28"/>
    </row>
    <row r="171" spans="1:79 1071:1071" s="27" customFormat="1">
      <c r="A171" s="32">
        <f t="shared" si="197"/>
        <v>10</v>
      </c>
      <c r="B171" s="32"/>
      <c r="C171" s="32" t="s">
        <v>100</v>
      </c>
      <c r="D171" s="32"/>
      <c r="E171" s="34" t="s">
        <v>101</v>
      </c>
      <c r="F171" s="34"/>
      <c r="G171" s="34"/>
      <c r="H171" s="116"/>
      <c r="I171" s="36" t="str">
        <f t="shared" si="193"/>
        <v/>
      </c>
      <c r="J171" s="36"/>
      <c r="K171" s="116" t="str">
        <f t="shared" si="194"/>
        <v/>
      </c>
      <c r="L171" s="36"/>
      <c r="M171" s="36"/>
      <c r="N171" s="36"/>
      <c r="O171" s="132"/>
      <c r="P171" s="37" t="str">
        <f t="shared" si="198"/>
        <v>{"id":"10","filename":"010_how have you been","role":"mask","text":"Its good to see you again. How have you been?","gpt_emotion":"","gpt_tone":"","animate":{"pre":"smile","post":"","next_state":""},"azure":{"style":"","degree":0,"pause":0,"pitch":-5,"rate":-10,"volume":0},"emotion":{"sadness":0,"joy":1,"fear":0,"disgust":0,"anger":0},"sgcom":{"mood":"","scale":-1}}</v>
      </c>
      <c r="Q171" s="37"/>
      <c r="R171" s="35"/>
      <c r="S171" s="35"/>
      <c r="T171" s="137"/>
      <c r="U171" s="39"/>
      <c r="V171" s="35" t="str">
        <f t="shared" si="199"/>
        <v>/opt/homebrew/bin/osc --host 10.10.10.10:5918 say  "{#Qid#Q:#Q10#Q#C#Qfilename#Q:#Q010_how#Shave#Syou#Sbeen#Q#C#Qrole#Q:#Qmask#Q#C#Qtext#Q:#QIts#Sgood#Sto#Ssee#Syou#Sagain.#SHow#Shave#Syou#Sbeen?#Q#C#Qgpt_emotion#Q:#Q#Q#C#Qgpt_tone#Q:#Q#Q#C#Qanimate#Q:{#Qpre#Q:#Qsmile#Q#C#Qpost#Q:#Q#Q#C#Qnext_state#Q:#Q#Q}#C#Qazure#Q:{#Qstyle#Q:#Q#Q#C#Qdegree#Q:0#C#Qpause#Q:0#C#Qpitch#Q:-5#C#Qrate#Q:-10#C#Qvolume#Q:0}#C#Qemotion#Q:{#Qsadness#Q:0#C#Qjoy#Q:1#C#Qfear#Q:0#C#Qdisgust#Q:0#C#Qanger#Q:0}#C#Qsgcom#Q:{#Qmood#Q:#Q#Q#C#Qscale#Q:-1}}"</v>
      </c>
      <c r="W171" s="36" t="str">
        <f t="shared" si="200"/>
        <v>/opt/homebrew/bin/sendosc 10.10.10.10 5918 say s {\"id\":\"10\",\"filename\":\"010_how\ have\ you\ been\",\"role\":\"mask\",\"text\":\"Its\ good\ to\ see\ you\ again.\ How\ have\ you\ been\?\",\"gpt_emotion\":\"\",\"gpt_tone\":\"\",\"animate\":{\"pre\":\"smile\",\"post\":\"\",\"next_state\":\"\"\},\"azure\":{\"style\":\"\",\"degree\":0,\"pause\":0,\"pitch\":-5,\"rate\":-10,\"volume\":0\},\"emotion\":{\"sadness\":0,\"joy\":1,\"fear\":0,\"disgust\":0,\"anger\":0\},\"sgcom\":{\"mood\":\"\",\"scale\":-1\}\}</v>
      </c>
      <c r="X171" s="36" t="str">
        <f t="shared" si="201"/>
        <v>{#Qid#Q:#Q10#Q#C#Qfilename#Q:#Q010_how#Shave#Syou#Sbeen#Q#C#Qrole#Q:#Qmask#Q#C#Qtext#Q:#QIts#Sgood#Sto#Ssee#Syou#Sagain.#SHow#Shave#Syou#Sbeen?#Q#C#Qgpt_emotion#Q:#Q#Q#C#Qgpt_tone#Q:#Q#Q#C#Qanimate#Q:{#Qpre#Q:#Qsmile#Q#C#Qpost#Q:#Q#Q#C#Qnext_state#Q:#Q#Q}#C#Qazure#Q:{#Qstyle#Q:#Q#Q#C#Qdegree#Q:0#C#Qpause#Q:0#C#Qpitch#Q:-5#C#Qrate#Q:-10#C#Qvolume#Q:0}#C#Qemotion#Q:{#Qsadness#Q:0#C#Qjoy#Q:1#C#Qfear#Q:0#C#Qdisgust#Q:0#C#Qanger#Q:0}#C#Qsgcom#Q:{#Qmood#Q:#Q#Q#C#Qscale#Q:-1}}</v>
      </c>
      <c r="Y171" s="40" t="s">
        <v>102</v>
      </c>
      <c r="Z171" s="36" t="str">
        <f t="shared" si="202"/>
        <v>say</v>
      </c>
      <c r="AA171" s="36"/>
      <c r="AB171" s="36" t="str" cm="1">
        <f t="array" ref="AB171">IF(C171="observe",channel_av_observe,"") &amp; IF(C171="register",channel_av_register,"")  &amp; IF(C171="listen",channel_av_listen,"")</f>
        <v/>
      </c>
      <c r="AC171" s="36" t="str">
        <f t="shared" si="203"/>
        <v/>
      </c>
      <c r="AD171" s="36" t="str">
        <f t="shared" si="204"/>
        <v/>
      </c>
      <c r="AE171" s="42" t="s">
        <v>103</v>
      </c>
      <c r="AF171" s="37" t="s">
        <v>104</v>
      </c>
      <c r="AG171" s="37"/>
      <c r="AH171" s="37" t="s">
        <v>329</v>
      </c>
      <c r="AI171" s="37"/>
      <c r="AJ171" s="114">
        <f t="shared" si="205"/>
        <v>10</v>
      </c>
      <c r="AK171" s="56" t="str">
        <f t="shared" si="206"/>
        <v>010_how have you been</v>
      </c>
      <c r="AL171" s="37"/>
      <c r="AM171" s="133"/>
      <c r="AN171" s="37"/>
      <c r="AO171" s="37"/>
      <c r="AP171" s="37"/>
      <c r="AQ171" s="37"/>
      <c r="AR171" s="37"/>
      <c r="AS171" s="37"/>
      <c r="AT171" s="37"/>
      <c r="AU171" s="37"/>
      <c r="AV171" s="37"/>
      <c r="AW171" s="37"/>
      <c r="AX171" s="37"/>
      <c r="AY171" s="37"/>
      <c r="AZ171" s="37"/>
      <c r="BA171" s="37"/>
      <c r="BB171" s="37"/>
      <c r="BC171" s="41"/>
      <c r="BD171" s="42"/>
      <c r="BE171" s="42"/>
      <c r="BF171" s="41"/>
      <c r="BG171" s="108" t="s">
        <v>309</v>
      </c>
      <c r="BH171" s="108"/>
      <c r="BI171" s="108" t="s">
        <v>77</v>
      </c>
      <c r="BJ171" s="110" t="s">
        <v>331</v>
      </c>
      <c r="BK171" s="41"/>
      <c r="BL171" s="42"/>
      <c r="BM171" s="35">
        <v>0</v>
      </c>
      <c r="BN171" s="35">
        <v>0</v>
      </c>
      <c r="BO171" s="35">
        <v>-5</v>
      </c>
      <c r="BP171" s="35">
        <v>-10</v>
      </c>
      <c r="BQ171" s="35">
        <v>0</v>
      </c>
      <c r="BR171" s="41"/>
      <c r="BS171" s="35">
        <v>0</v>
      </c>
      <c r="BT171" s="35">
        <v>1</v>
      </c>
      <c r="BU171" s="35">
        <v>0</v>
      </c>
      <c r="BV171" s="35">
        <v>0</v>
      </c>
      <c r="BW171" s="35">
        <v>0</v>
      </c>
      <c r="BX171" s="41"/>
      <c r="BY171" s="34"/>
      <c r="BZ171" s="43" t="s">
        <v>165</v>
      </c>
      <c r="CA171" s="43" t="s">
        <v>165</v>
      </c>
      <c r="AOE171" s="28"/>
    </row>
    <row r="172" spans="1:79 1071:1071" s="27" customFormat="1">
      <c r="A172" s="32">
        <f t="shared" si="197"/>
        <v>11</v>
      </c>
      <c r="B172" s="32"/>
      <c r="C172" s="32" t="s">
        <v>100</v>
      </c>
      <c r="D172" s="32"/>
      <c r="E172" s="34" t="s">
        <v>101</v>
      </c>
      <c r="F172" s="34"/>
      <c r="G172" s="34"/>
      <c r="H172" s="116"/>
      <c r="I172" s="36" t="str">
        <f t="shared" si="193"/>
        <v/>
      </c>
      <c r="J172" s="36"/>
      <c r="K172" s="116" t="str">
        <f t="shared" si="194"/>
        <v/>
      </c>
      <c r="L172" s="36"/>
      <c r="M172" s="36"/>
      <c r="N172" s="36"/>
      <c r="O172" s="132"/>
      <c r="P172" s="37" t="str">
        <f t="shared" si="198"/>
        <v>{"id":"11","filename":"011_how have you been","role":"mask","text":"Its good to see you again. How have you been?","gpt_emotion":"","gpt_tone":"","animate":{"pre":"weary","post":"","next_state":""},"azure":{"style":"","degree":0,"pause":0,"pitch":-5,"rate":-10,"volume":0},"emotion":{"sadness":0,"joy":1,"fear":0,"disgust":0,"anger":0},"sgcom":{"mood":"","scale":-1}}</v>
      </c>
      <c r="Q172" s="37"/>
      <c r="R172" s="35"/>
      <c r="S172" s="35"/>
      <c r="T172" s="137"/>
      <c r="U172" s="39"/>
      <c r="V172" s="35" t="str">
        <f t="shared" si="199"/>
        <v>/opt/homebrew/bin/osc --host 10.10.10.10:5918 say  "{#Qid#Q:#Q11#Q#C#Qfilename#Q:#Q011_how#Shave#Syou#Sbeen#Q#C#Qrole#Q:#Qmask#Q#C#Qtext#Q:#QIts#Sgood#Sto#Ssee#Syou#Sagain.#SHow#Shave#Syou#Sbeen?#Q#C#Qgpt_emotion#Q:#Q#Q#C#Qgpt_tone#Q:#Q#Q#C#Qanimate#Q:{#Qpre#Q:#Qweary#Q#C#Qpost#Q:#Q#Q#C#Qnext_state#Q:#Q#Q}#C#Qazure#Q:{#Qstyle#Q:#Q#Q#C#Qdegree#Q:0#C#Qpause#Q:0#C#Qpitch#Q:-5#C#Qrate#Q:-10#C#Qvolume#Q:0}#C#Qemotion#Q:{#Qsadness#Q:0#C#Qjoy#Q:1#C#Qfear#Q:0#C#Qdisgust#Q:0#C#Qanger#Q:0}#C#Qsgcom#Q:{#Qmood#Q:#Q#Q#C#Qscale#Q:-1}}"</v>
      </c>
      <c r="W172" s="36" t="str">
        <f t="shared" si="200"/>
        <v>/opt/homebrew/bin/sendosc 10.10.10.10 5918 say s {\"id\":\"11\",\"filename\":\"011_how\ have\ you\ been\",\"role\":\"mask\",\"text\":\"Its\ good\ to\ see\ you\ again.\ How\ have\ you\ been\?\",\"gpt_emotion\":\"\",\"gpt_tone\":\"\",\"animate\":{\"pre\":\"weary\",\"post\":\"\",\"next_state\":\"\"\},\"azure\":{\"style\":\"\",\"degree\":0,\"pause\":0,\"pitch\":-5,\"rate\":-10,\"volume\":0\},\"emotion\":{\"sadness\":0,\"joy\":1,\"fear\":0,\"disgust\":0,\"anger\":0\},\"sgcom\":{\"mood\":\"\",\"scale\":-1\}\}</v>
      </c>
      <c r="X172" s="36" t="str">
        <f t="shared" si="201"/>
        <v>{#Qid#Q:#Q11#Q#C#Qfilename#Q:#Q011_how#Shave#Syou#Sbeen#Q#C#Qrole#Q:#Qmask#Q#C#Qtext#Q:#QIts#Sgood#Sto#Ssee#Syou#Sagain.#SHow#Shave#Syou#Sbeen?#Q#C#Qgpt_emotion#Q:#Q#Q#C#Qgpt_tone#Q:#Q#Q#C#Qanimate#Q:{#Qpre#Q:#Qweary#Q#C#Qpost#Q:#Q#Q#C#Qnext_state#Q:#Q#Q}#C#Qazure#Q:{#Qstyle#Q:#Q#Q#C#Qdegree#Q:0#C#Qpause#Q:0#C#Qpitch#Q:-5#C#Qrate#Q:-10#C#Qvolume#Q:0}#C#Qemotion#Q:{#Qsadness#Q:0#C#Qjoy#Q:1#C#Qfear#Q:0#C#Qdisgust#Q:0#C#Qanger#Q:0}#C#Qsgcom#Q:{#Qmood#Q:#Q#Q#C#Qscale#Q:-1}}</v>
      </c>
      <c r="Y172" s="40" t="s">
        <v>102</v>
      </c>
      <c r="Z172" s="36" t="str">
        <f t="shared" si="202"/>
        <v>say</v>
      </c>
      <c r="AA172" s="36"/>
      <c r="AB172" s="36" t="str" cm="1">
        <f t="array" ref="AB172">IF(C172="observe",channel_av_observe,"") &amp; IF(C172="register",channel_av_register,"")  &amp; IF(C172="listen",channel_av_listen,"")</f>
        <v/>
      </c>
      <c r="AC172" s="36" t="str">
        <f t="shared" si="203"/>
        <v/>
      </c>
      <c r="AD172" s="36" t="str">
        <f t="shared" si="204"/>
        <v/>
      </c>
      <c r="AE172" s="42" t="s">
        <v>103</v>
      </c>
      <c r="AF172" s="37" t="s">
        <v>104</v>
      </c>
      <c r="AG172" s="37"/>
      <c r="AH172" s="37" t="s">
        <v>329</v>
      </c>
      <c r="AI172" s="37"/>
      <c r="AJ172" s="114">
        <f t="shared" si="205"/>
        <v>11</v>
      </c>
      <c r="AK172" s="56" t="str">
        <f t="shared" si="206"/>
        <v>011_how have you been</v>
      </c>
      <c r="AL172" s="37"/>
      <c r="AM172" s="133"/>
      <c r="AN172" s="37"/>
      <c r="AO172" s="37"/>
      <c r="AP172" s="37"/>
      <c r="AQ172" s="37"/>
      <c r="AR172" s="37"/>
      <c r="AS172" s="37"/>
      <c r="AT172" s="37"/>
      <c r="AU172" s="37"/>
      <c r="AV172" s="37"/>
      <c r="AW172" s="37"/>
      <c r="AX172" s="37"/>
      <c r="AY172" s="37"/>
      <c r="AZ172" s="37"/>
      <c r="BA172" s="37"/>
      <c r="BB172" s="37"/>
      <c r="BC172" s="41"/>
      <c r="BD172" s="42"/>
      <c r="BE172" s="42"/>
      <c r="BF172" s="41"/>
      <c r="BG172" s="108" t="s">
        <v>315</v>
      </c>
      <c r="BH172" s="108"/>
      <c r="BI172" s="108" t="s">
        <v>77</v>
      </c>
      <c r="BJ172" s="110" t="s">
        <v>310</v>
      </c>
      <c r="BK172" s="41"/>
      <c r="BL172" s="42"/>
      <c r="BM172" s="35">
        <v>0</v>
      </c>
      <c r="BN172" s="35">
        <v>0</v>
      </c>
      <c r="BO172" s="35">
        <v>-5</v>
      </c>
      <c r="BP172" s="35">
        <v>-10</v>
      </c>
      <c r="BQ172" s="35">
        <v>0</v>
      </c>
      <c r="BR172" s="41"/>
      <c r="BS172" s="35">
        <v>0</v>
      </c>
      <c r="BT172" s="35">
        <v>1</v>
      </c>
      <c r="BU172" s="35">
        <v>0</v>
      </c>
      <c r="BV172" s="35">
        <v>0</v>
      </c>
      <c r="BW172" s="35">
        <v>0</v>
      </c>
      <c r="BX172" s="41"/>
      <c r="BY172" s="34"/>
      <c r="BZ172" s="43" t="s">
        <v>165</v>
      </c>
      <c r="CA172" s="43" t="s">
        <v>165</v>
      </c>
      <c r="AOE172" s="28"/>
    </row>
    <row r="173" spans="1:79 1071:1071" s="27" customFormat="1">
      <c r="A173" s="32">
        <f t="shared" si="197"/>
        <v>12</v>
      </c>
      <c r="B173" s="32"/>
      <c r="C173" s="32" t="s">
        <v>100</v>
      </c>
      <c r="D173" s="32"/>
      <c r="E173" s="34" t="s">
        <v>101</v>
      </c>
      <c r="F173" s="34"/>
      <c r="G173" s="34"/>
      <c r="H173" s="116"/>
      <c r="I173" s="36" t="str">
        <f t="shared" si="193"/>
        <v/>
      </c>
      <c r="J173" s="36"/>
      <c r="K173" s="116" t="str">
        <f t="shared" si="194"/>
        <v/>
      </c>
      <c r="L173" s="36"/>
      <c r="M173" s="36"/>
      <c r="N173" s="36"/>
      <c r="O173" s="132"/>
      <c r="P173" s="37" t="str">
        <f t="shared" si="198"/>
        <v>{"id":"12","filename":"012_how have you been","role":"mask","text":"Its good to see you again. How have you been?","gpt_emotion":"","gpt_tone":"","animate":{"pre":"left_look","post":"","next_state":""},"azure":{"style":"","degree":0,"pause":0,"pitch":-5,"rate":-10,"volume":0},"emotion":{"sadness":0,"joy":1,"fear":0,"disgust":0,"anger":0},"sgcom":{"mood":"","scale":-1}}</v>
      </c>
      <c r="Q173" s="37"/>
      <c r="R173" s="35"/>
      <c r="S173" s="35"/>
      <c r="T173" s="137"/>
      <c r="U173" s="39"/>
      <c r="V173" s="35" t="str">
        <f t="shared" si="199"/>
        <v>/opt/homebrew/bin/osc --host 10.10.10.10:5918 say  "{#Qid#Q:#Q12#Q#C#Qfilename#Q:#Q012_how#Shave#Syou#Sbeen#Q#C#Qrole#Q:#Qmask#Q#C#Qtext#Q:#QIts#Sgood#Sto#Ssee#Syou#Sagain.#SHow#Shave#Syou#Sbeen?#Q#C#Qgpt_emotion#Q:#Q#Q#C#Qgpt_tone#Q:#Q#Q#C#Qanimate#Q:{#Qpre#Q:#Qleft_look#Q#C#Qpost#Q:#Q#Q#C#Qnext_state#Q:#Q#Q}#C#Qazure#Q:{#Qstyle#Q:#Q#Q#C#Qdegree#Q:0#C#Qpause#Q:0#C#Qpitch#Q:-5#C#Qrate#Q:-10#C#Qvolume#Q:0}#C#Qemotion#Q:{#Qsadness#Q:0#C#Qjoy#Q:1#C#Qfear#Q:0#C#Qdisgust#Q:0#C#Qanger#Q:0}#C#Qsgcom#Q:{#Qmood#Q:#Q#Q#C#Qscale#Q:-1}}"</v>
      </c>
      <c r="W173" s="36" t="str">
        <f t="shared" si="200"/>
        <v>/opt/homebrew/bin/sendosc 10.10.10.10 5918 say s {\"id\":\"12\",\"filename\":\"012_how\ have\ you\ been\",\"role\":\"mask\",\"text\":\"Its\ good\ to\ see\ you\ again.\ How\ have\ you\ been\?\",\"gpt_emotion\":\"\",\"gpt_tone\":\"\",\"animate\":{\"pre\":\"left_look\",\"post\":\"\",\"next_state\":\"\"\},\"azure\":{\"style\":\"\",\"degree\":0,\"pause\":0,\"pitch\":-5,\"rate\":-10,\"volume\":0\},\"emotion\":{\"sadness\":0,\"joy\":1,\"fear\":0,\"disgust\":0,\"anger\":0\},\"sgcom\":{\"mood\":\"\",\"scale\":-1\}\}</v>
      </c>
      <c r="X173" s="36" t="str">
        <f t="shared" si="201"/>
        <v>{#Qid#Q:#Q12#Q#C#Qfilename#Q:#Q012_how#Shave#Syou#Sbeen#Q#C#Qrole#Q:#Qmask#Q#C#Qtext#Q:#QIts#Sgood#Sto#Ssee#Syou#Sagain.#SHow#Shave#Syou#Sbeen?#Q#C#Qgpt_emotion#Q:#Q#Q#C#Qgpt_tone#Q:#Q#Q#C#Qanimate#Q:{#Qpre#Q:#Qleft_look#Q#C#Qpost#Q:#Q#Q#C#Qnext_state#Q:#Q#Q}#C#Qazure#Q:{#Qstyle#Q:#Q#Q#C#Qdegree#Q:0#C#Qpause#Q:0#C#Qpitch#Q:-5#C#Qrate#Q:-10#C#Qvolume#Q:0}#C#Qemotion#Q:{#Qsadness#Q:0#C#Qjoy#Q:1#C#Qfear#Q:0#C#Qdisgust#Q:0#C#Qanger#Q:0}#C#Qsgcom#Q:{#Qmood#Q:#Q#Q#C#Qscale#Q:-1}}</v>
      </c>
      <c r="Y173" s="40" t="s">
        <v>102</v>
      </c>
      <c r="Z173" s="36" t="str">
        <f t="shared" si="202"/>
        <v>say</v>
      </c>
      <c r="AA173" s="36"/>
      <c r="AB173" s="36" t="str" cm="1">
        <f t="array" ref="AB173">IF(C173="observe",channel_av_observe,"") &amp; IF(C173="register",channel_av_register,"")  &amp; IF(C173="listen",channel_av_listen,"")</f>
        <v/>
      </c>
      <c r="AC173" s="36" t="str">
        <f t="shared" si="203"/>
        <v/>
      </c>
      <c r="AD173" s="36" t="str">
        <f t="shared" si="204"/>
        <v/>
      </c>
      <c r="AE173" s="42" t="s">
        <v>103</v>
      </c>
      <c r="AF173" s="37" t="s">
        <v>104</v>
      </c>
      <c r="AG173" s="37"/>
      <c r="AH173" s="37" t="s">
        <v>329</v>
      </c>
      <c r="AI173" s="37"/>
      <c r="AJ173" s="114">
        <f t="shared" si="205"/>
        <v>12</v>
      </c>
      <c r="AK173" s="56" t="str">
        <f t="shared" si="206"/>
        <v>012_how have you been</v>
      </c>
      <c r="AL173" s="37"/>
      <c r="AM173" s="133"/>
      <c r="AN173" s="37"/>
      <c r="AO173" s="37"/>
      <c r="AP173" s="37"/>
      <c r="AQ173" s="37"/>
      <c r="AR173" s="37"/>
      <c r="AS173" s="37"/>
      <c r="AT173" s="37"/>
      <c r="AU173" s="37"/>
      <c r="AV173" s="37"/>
      <c r="AW173" s="37"/>
      <c r="AX173" s="37"/>
      <c r="AY173" s="37"/>
      <c r="AZ173" s="37"/>
      <c r="BA173" s="37"/>
      <c r="BB173" s="37"/>
      <c r="BC173" s="41"/>
      <c r="BD173" s="42"/>
      <c r="BE173" s="42"/>
      <c r="BF173" s="41"/>
      <c r="BG173" s="108" t="s">
        <v>320</v>
      </c>
      <c r="BH173" s="108"/>
      <c r="BI173" s="108" t="s">
        <v>77</v>
      </c>
      <c r="BJ173" s="110" t="s">
        <v>331</v>
      </c>
      <c r="BK173" s="41"/>
      <c r="BL173" s="42"/>
      <c r="BM173" s="35">
        <v>0</v>
      </c>
      <c r="BN173" s="35">
        <v>0</v>
      </c>
      <c r="BO173" s="35">
        <v>-5</v>
      </c>
      <c r="BP173" s="35">
        <v>-10</v>
      </c>
      <c r="BQ173" s="35">
        <v>0</v>
      </c>
      <c r="BR173" s="41"/>
      <c r="BS173" s="35">
        <v>0</v>
      </c>
      <c r="BT173" s="35">
        <v>1</v>
      </c>
      <c r="BU173" s="35">
        <v>0</v>
      </c>
      <c r="BV173" s="35">
        <v>0</v>
      </c>
      <c r="BW173" s="35">
        <v>0</v>
      </c>
      <c r="BX173" s="41"/>
      <c r="BY173" s="34"/>
      <c r="BZ173" s="43" t="s">
        <v>165</v>
      </c>
      <c r="CA173" s="43" t="s">
        <v>165</v>
      </c>
      <c r="AOE173" s="28"/>
    </row>
    <row r="174" spans="1:79 1071:1071" s="27" customFormat="1">
      <c r="A174" s="32">
        <f t="shared" si="197"/>
        <v>13</v>
      </c>
      <c r="B174" s="32"/>
      <c r="C174" s="32" t="s">
        <v>100</v>
      </c>
      <c r="D174" s="32"/>
      <c r="E174" s="34" t="s">
        <v>101</v>
      </c>
      <c r="F174" s="34"/>
      <c r="G174" s="34"/>
      <c r="H174" s="116"/>
      <c r="I174" s="36" t="str">
        <f t="shared" si="193"/>
        <v/>
      </c>
      <c r="J174" s="36"/>
      <c r="K174" s="116" t="str">
        <f t="shared" si="194"/>
        <v/>
      </c>
      <c r="L174" s="36"/>
      <c r="M174" s="36"/>
      <c r="N174" s="36"/>
      <c r="O174" s="132"/>
      <c r="P174" s="37" t="str">
        <f t="shared" si="198"/>
        <v>{"id":"13","filename":"013_how have you been","role":"mask","text":"Its good to see you again. How have you been?","gpt_emotion":"","gpt_tone":"","animate":{"pre":"look_up","post":"","next_state":""},"azure":{"style":"","degree":0,"pause":0,"pitch":-5,"rate":-10,"volume":0},"emotion":{"sadness":0,"joy":1,"fear":0,"disgust":0,"anger":0},"sgcom":{"mood":"","scale":-1}}</v>
      </c>
      <c r="Q174" s="37"/>
      <c r="R174" s="35"/>
      <c r="S174" s="35"/>
      <c r="T174" s="137"/>
      <c r="U174" s="39"/>
      <c r="V174" s="35" t="str">
        <f t="shared" si="199"/>
        <v>/opt/homebrew/bin/osc --host 10.10.10.10:5918 say  "{#Qid#Q:#Q13#Q#C#Qfilename#Q:#Q013_how#Shave#Syou#Sbeen#Q#C#Qrole#Q:#Qmask#Q#C#Qtext#Q:#QIts#Sgood#Sto#Ssee#Syou#Sagain.#SHow#Shave#Syou#Sbeen?#Q#C#Qgpt_emotion#Q:#Q#Q#C#Qgpt_tone#Q:#Q#Q#C#Qanimate#Q:{#Qpre#Q:#Qlook_up#Q#C#Qpost#Q:#Q#Q#C#Qnext_state#Q:#Q#Q}#C#Qazure#Q:{#Qstyle#Q:#Q#Q#C#Qdegree#Q:0#C#Qpause#Q:0#C#Qpitch#Q:-5#C#Qrate#Q:-10#C#Qvolume#Q:0}#C#Qemotion#Q:{#Qsadness#Q:0#C#Qjoy#Q:1#C#Qfear#Q:0#C#Qdisgust#Q:0#C#Qanger#Q:0}#C#Qsgcom#Q:{#Qmood#Q:#Q#Q#C#Qscale#Q:-1}}"</v>
      </c>
      <c r="W174" s="36" t="str">
        <f t="shared" si="200"/>
        <v>/opt/homebrew/bin/sendosc 10.10.10.10 5918 say s {\"id\":\"13\",\"filename\":\"013_how\ have\ you\ been\",\"role\":\"mask\",\"text\":\"Its\ good\ to\ see\ you\ again.\ How\ have\ you\ been\?\",\"gpt_emotion\":\"\",\"gpt_tone\":\"\",\"animate\":{\"pre\":\"look_up\",\"post\":\"\",\"next_state\":\"\"\},\"azure\":{\"style\":\"\",\"degree\":0,\"pause\":0,\"pitch\":-5,\"rate\":-10,\"volume\":0\},\"emotion\":{\"sadness\":0,\"joy\":1,\"fear\":0,\"disgust\":0,\"anger\":0\},\"sgcom\":{\"mood\":\"\",\"scale\":-1\}\}</v>
      </c>
      <c r="X174" s="36" t="str">
        <f t="shared" si="201"/>
        <v>{#Qid#Q:#Q13#Q#C#Qfilename#Q:#Q013_how#Shave#Syou#Sbeen#Q#C#Qrole#Q:#Qmask#Q#C#Qtext#Q:#QIts#Sgood#Sto#Ssee#Syou#Sagain.#SHow#Shave#Syou#Sbeen?#Q#C#Qgpt_emotion#Q:#Q#Q#C#Qgpt_tone#Q:#Q#Q#C#Qanimate#Q:{#Qpre#Q:#Qlook_up#Q#C#Qpost#Q:#Q#Q#C#Qnext_state#Q:#Q#Q}#C#Qazure#Q:{#Qstyle#Q:#Q#Q#C#Qdegree#Q:0#C#Qpause#Q:0#C#Qpitch#Q:-5#C#Qrate#Q:-10#C#Qvolume#Q:0}#C#Qemotion#Q:{#Qsadness#Q:0#C#Qjoy#Q:1#C#Qfear#Q:0#C#Qdisgust#Q:0#C#Qanger#Q:0}#C#Qsgcom#Q:{#Qmood#Q:#Q#Q#C#Qscale#Q:-1}}</v>
      </c>
      <c r="Y174" s="40" t="s">
        <v>102</v>
      </c>
      <c r="Z174" s="36" t="str">
        <f t="shared" si="202"/>
        <v>say</v>
      </c>
      <c r="AA174" s="36"/>
      <c r="AB174" s="36" t="str" cm="1">
        <f t="array" ref="AB174">IF(C174="observe",channel_av_observe,"") &amp; IF(C174="register",channel_av_register,"")  &amp; IF(C174="listen",channel_av_listen,"")</f>
        <v/>
      </c>
      <c r="AC174" s="36" t="str">
        <f t="shared" si="203"/>
        <v/>
      </c>
      <c r="AD174" s="36" t="str">
        <f t="shared" si="204"/>
        <v/>
      </c>
      <c r="AE174" s="42" t="s">
        <v>103</v>
      </c>
      <c r="AF174" s="37" t="s">
        <v>104</v>
      </c>
      <c r="AG174" s="37"/>
      <c r="AH174" s="37" t="s">
        <v>329</v>
      </c>
      <c r="AI174" s="37"/>
      <c r="AJ174" s="114">
        <f t="shared" si="205"/>
        <v>13</v>
      </c>
      <c r="AK174" s="56" t="str">
        <f t="shared" si="206"/>
        <v>013_how have you been</v>
      </c>
      <c r="AL174" s="37"/>
      <c r="AM174" s="133"/>
      <c r="AN174" s="37"/>
      <c r="AO174" s="37"/>
      <c r="AP174" s="37"/>
      <c r="AQ174" s="37"/>
      <c r="AR174" s="37"/>
      <c r="AS174" s="37"/>
      <c r="AT174" s="37"/>
      <c r="AU174" s="37"/>
      <c r="AV174" s="37"/>
      <c r="AW174" s="37"/>
      <c r="AX174" s="37"/>
      <c r="AY174" s="37"/>
      <c r="AZ174" s="37"/>
      <c r="BA174" s="37"/>
      <c r="BB174" s="37"/>
      <c r="BC174" s="41"/>
      <c r="BD174" s="42"/>
      <c r="BE174" s="42"/>
      <c r="BF174" s="41"/>
      <c r="BG174" s="108" t="s">
        <v>276</v>
      </c>
      <c r="BH174" s="108"/>
      <c r="BI174" s="108" t="s">
        <v>77</v>
      </c>
      <c r="BJ174" s="110" t="s">
        <v>338</v>
      </c>
      <c r="BK174" s="41"/>
      <c r="BL174" s="42"/>
      <c r="BM174" s="35">
        <v>0</v>
      </c>
      <c r="BN174" s="35">
        <v>0</v>
      </c>
      <c r="BO174" s="35">
        <v>-5</v>
      </c>
      <c r="BP174" s="35">
        <v>-10</v>
      </c>
      <c r="BQ174" s="35">
        <v>0</v>
      </c>
      <c r="BR174" s="41"/>
      <c r="BS174" s="35">
        <v>0</v>
      </c>
      <c r="BT174" s="35">
        <v>1</v>
      </c>
      <c r="BU174" s="35">
        <v>0</v>
      </c>
      <c r="BV174" s="35">
        <v>0</v>
      </c>
      <c r="BW174" s="35">
        <v>0</v>
      </c>
      <c r="BX174" s="41"/>
      <c r="BY174" s="34"/>
      <c r="BZ174" s="43" t="s">
        <v>165</v>
      </c>
      <c r="CA174" s="43" t="s">
        <v>165</v>
      </c>
      <c r="AOE174" s="28"/>
    </row>
    <row r="175" spans="1:79 1071:1071" s="27" customFormat="1">
      <c r="A175" s="32">
        <f t="shared" si="197"/>
        <v>14</v>
      </c>
      <c r="B175" s="32"/>
      <c r="C175" s="32" t="s">
        <v>100</v>
      </c>
      <c r="D175" s="32"/>
      <c r="E175" s="34" t="s">
        <v>101</v>
      </c>
      <c r="F175" s="34"/>
      <c r="G175" s="34"/>
      <c r="H175" s="116"/>
      <c r="I175" s="36" t="str">
        <f t="shared" si="193"/>
        <v/>
      </c>
      <c r="J175" s="36"/>
      <c r="K175" s="116" t="str">
        <f t="shared" si="194"/>
        <v/>
      </c>
      <c r="L175" s="36"/>
      <c r="M175" s="36"/>
      <c r="N175" s="36"/>
      <c r="O175" s="132"/>
      <c r="P175" s="37" t="str">
        <f t="shared" si="198"/>
        <v>{"id":"14","filename":"014_how have you been","role":"mask","text":"Its good to see you again. How have you been?","gpt_emotion":"","gpt_tone":"","animate":{"pre":"lookleftright","post":"","next_state":""},"azure":{"style":"","degree":0,"pause":0,"pitch":-5,"rate":-10,"volume":0},"emotion":{"sadness":0,"joy":1,"fear":0,"disgust":0,"anger":0},"sgcom":{"mood":"","scale":-1}}</v>
      </c>
      <c r="Q175" s="37"/>
      <c r="R175" s="35"/>
      <c r="S175" s="35"/>
      <c r="T175" s="137"/>
      <c r="U175" s="39"/>
      <c r="V175" s="35" t="str">
        <f t="shared" si="199"/>
        <v>/opt/homebrew/bin/osc --host 10.10.10.10:5918 say  "{#Qid#Q:#Q14#Q#C#Qfilename#Q:#Q014_how#Shave#Syou#Sbeen#Q#C#Qrole#Q:#Qmask#Q#C#Qtext#Q:#QIts#Sgood#Sto#Ssee#Syou#Sagain.#SHow#Shave#Syou#Sbeen?#Q#C#Qgpt_emotion#Q:#Q#Q#C#Qgpt_tone#Q:#Q#Q#C#Qanimate#Q:{#Qpre#Q:#Qlookleftright#Q#C#Qpost#Q:#Q#Q#C#Qnext_state#Q:#Q#Q}#C#Qazure#Q:{#Qstyle#Q:#Q#Q#C#Qdegree#Q:0#C#Qpause#Q:0#C#Qpitch#Q:-5#C#Qrate#Q:-10#C#Qvolume#Q:0}#C#Qemotion#Q:{#Qsadness#Q:0#C#Qjoy#Q:1#C#Qfear#Q:0#C#Qdisgust#Q:0#C#Qanger#Q:0}#C#Qsgcom#Q:{#Qmood#Q:#Q#Q#C#Qscale#Q:-1}}"</v>
      </c>
      <c r="W175" s="36" t="str">
        <f t="shared" si="200"/>
        <v>/opt/homebrew/bin/sendosc 10.10.10.10 5918 say s {\"id\":\"14\",\"filename\":\"014_how\ have\ you\ been\",\"role\":\"mask\",\"text\":\"Its\ good\ to\ see\ you\ again.\ How\ have\ you\ been\?\",\"gpt_emotion\":\"\",\"gpt_tone\":\"\",\"animate\":{\"pre\":\"lookleftright\",\"post\":\"\",\"next_state\":\"\"\},\"azure\":{\"style\":\"\",\"degree\":0,\"pause\":0,\"pitch\":-5,\"rate\":-10,\"volume\":0\},\"emotion\":{\"sadness\":0,\"joy\":1,\"fear\":0,\"disgust\":0,\"anger\":0\},\"sgcom\":{\"mood\":\"\",\"scale\":-1\}\}</v>
      </c>
      <c r="X175" s="36" t="str">
        <f t="shared" si="201"/>
        <v>{#Qid#Q:#Q14#Q#C#Qfilename#Q:#Q014_how#Shave#Syou#Sbeen#Q#C#Qrole#Q:#Qmask#Q#C#Qtext#Q:#QIts#Sgood#Sto#Ssee#Syou#Sagain.#SHow#Shave#Syou#Sbeen?#Q#C#Qgpt_emotion#Q:#Q#Q#C#Qgpt_tone#Q:#Q#Q#C#Qanimate#Q:{#Qpre#Q:#Qlookleftright#Q#C#Qpost#Q:#Q#Q#C#Qnext_state#Q:#Q#Q}#C#Qazure#Q:{#Qstyle#Q:#Q#Q#C#Qdegree#Q:0#C#Qpause#Q:0#C#Qpitch#Q:-5#C#Qrate#Q:-10#C#Qvolume#Q:0}#C#Qemotion#Q:{#Qsadness#Q:0#C#Qjoy#Q:1#C#Qfear#Q:0#C#Qdisgust#Q:0#C#Qanger#Q:0}#C#Qsgcom#Q:{#Qmood#Q:#Q#Q#C#Qscale#Q:-1}}</v>
      </c>
      <c r="Y175" s="40" t="s">
        <v>102</v>
      </c>
      <c r="Z175" s="36" t="str">
        <f t="shared" si="202"/>
        <v>say</v>
      </c>
      <c r="AA175" s="36"/>
      <c r="AB175" s="36" t="str" cm="1">
        <f t="array" ref="AB175">IF(C175="observe",channel_av_observe,"") &amp; IF(C175="register",channel_av_register,"")  &amp; IF(C175="listen",channel_av_listen,"")</f>
        <v/>
      </c>
      <c r="AC175" s="36" t="str">
        <f t="shared" si="203"/>
        <v/>
      </c>
      <c r="AD175" s="36" t="str">
        <f t="shared" si="204"/>
        <v/>
      </c>
      <c r="AE175" s="42" t="s">
        <v>103</v>
      </c>
      <c r="AF175" s="37" t="s">
        <v>104</v>
      </c>
      <c r="AG175" s="37"/>
      <c r="AH175" s="37" t="s">
        <v>329</v>
      </c>
      <c r="AI175" s="37"/>
      <c r="AJ175" s="114">
        <f t="shared" si="205"/>
        <v>14</v>
      </c>
      <c r="AK175" s="56" t="str">
        <f t="shared" si="206"/>
        <v>014_how have you been</v>
      </c>
      <c r="AL175" s="37"/>
      <c r="AM175" s="133"/>
      <c r="AN175" s="37"/>
      <c r="AO175" s="37"/>
      <c r="AP175" s="37"/>
      <c r="AQ175" s="37"/>
      <c r="AR175" s="37"/>
      <c r="AS175" s="37"/>
      <c r="AT175" s="37"/>
      <c r="AU175" s="37"/>
      <c r="AV175" s="37"/>
      <c r="AW175" s="37"/>
      <c r="AX175" s="37"/>
      <c r="AY175" s="37"/>
      <c r="AZ175" s="37"/>
      <c r="BA175" s="37"/>
      <c r="BB175" s="37"/>
      <c r="BC175" s="41"/>
      <c r="BD175" s="42"/>
      <c r="BE175" s="42"/>
      <c r="BF175" s="41"/>
      <c r="BG175" s="104" t="s">
        <v>279</v>
      </c>
      <c r="BH175" s="104"/>
      <c r="BI175" s="108" t="s">
        <v>77</v>
      </c>
      <c r="BJ175" s="110" t="s">
        <v>343</v>
      </c>
      <c r="BK175" s="41"/>
      <c r="BL175" s="42"/>
      <c r="BM175" s="35">
        <v>0</v>
      </c>
      <c r="BN175" s="35">
        <v>0</v>
      </c>
      <c r="BO175" s="35">
        <v>-5</v>
      </c>
      <c r="BP175" s="35">
        <v>-10</v>
      </c>
      <c r="BQ175" s="35">
        <v>0</v>
      </c>
      <c r="BR175" s="41"/>
      <c r="BS175" s="35">
        <v>0</v>
      </c>
      <c r="BT175" s="35">
        <v>1</v>
      </c>
      <c r="BU175" s="35">
        <v>0</v>
      </c>
      <c r="BV175" s="35">
        <v>0</v>
      </c>
      <c r="BW175" s="35">
        <v>0</v>
      </c>
      <c r="BX175" s="41"/>
      <c r="BY175" s="34"/>
      <c r="BZ175" s="43" t="s">
        <v>165</v>
      </c>
      <c r="CA175" s="43" t="s">
        <v>165</v>
      </c>
      <c r="AOE175" s="28"/>
    </row>
    <row r="176" spans="1:79 1071:1071" s="27" customFormat="1">
      <c r="A176" s="32">
        <f t="shared" si="197"/>
        <v>15</v>
      </c>
      <c r="B176" s="32"/>
      <c r="C176" s="32" t="s">
        <v>100</v>
      </c>
      <c r="D176" s="32"/>
      <c r="E176" s="34" t="s">
        <v>101</v>
      </c>
      <c r="F176" s="34"/>
      <c r="G176" s="34"/>
      <c r="H176" s="116"/>
      <c r="I176" s="36" t="str">
        <f t="shared" si="193"/>
        <v/>
      </c>
      <c r="J176" s="36"/>
      <c r="K176" s="116" t="str">
        <f t="shared" si="194"/>
        <v/>
      </c>
      <c r="L176" s="36"/>
      <c r="M176" s="36"/>
      <c r="N176" s="36"/>
      <c r="O176" s="132"/>
      <c r="P176" s="37" t="str">
        <f t="shared" si="198"/>
        <v>{"id":"15","filename":"015_how have you been","role":"mask","text":"Its good to see you again. How have you been?","gpt_emotion":"","gpt_tone":"","animate":{"pre":"affectionate","post":"","next_state":""},"azure":{"style":"","degree":0,"pause":0,"pitch":-5,"rate":-10,"volume":0},"emotion":{"sadness":0,"joy":1,"fear":0,"disgust":0,"anger":0},"sgcom":{"mood":"","scale":-1}}</v>
      </c>
      <c r="Q176" s="37"/>
      <c r="R176" s="35"/>
      <c r="S176" s="35"/>
      <c r="T176" s="137"/>
      <c r="U176" s="39"/>
      <c r="V176" s="35" t="str">
        <f t="shared" si="199"/>
        <v>/opt/homebrew/bin/osc --host 10.10.10.10:5918 say  "{#Qid#Q:#Q15#Q#C#Qfilename#Q:#Q015_how#Shave#Syou#Sbeen#Q#C#Qrole#Q:#Qmask#Q#C#Qtext#Q:#QIts#Sgood#Sto#Ssee#Syou#Sagain.#SHow#Shave#Syou#Sbeen?#Q#C#Qgpt_emotion#Q:#Q#Q#C#Qgpt_tone#Q:#Q#Q#C#Qanimate#Q:{#Qpre#Q:#Qaffectionate#Q#C#Qpost#Q:#Q#Q#C#Qnext_state#Q:#Q#Q}#C#Qazure#Q:{#Qstyle#Q:#Q#Q#C#Qdegree#Q:0#C#Qpause#Q:0#C#Qpitch#Q:-5#C#Qrate#Q:-10#C#Qvolume#Q:0}#C#Qemotion#Q:{#Qsadness#Q:0#C#Qjoy#Q:1#C#Qfear#Q:0#C#Qdisgust#Q:0#C#Qanger#Q:0}#C#Qsgcom#Q:{#Qmood#Q:#Q#Q#C#Qscale#Q:-1}}"</v>
      </c>
      <c r="W176" s="36" t="str">
        <f t="shared" si="200"/>
        <v>/opt/homebrew/bin/sendosc 10.10.10.10 5918 say s {\"id\":\"15\",\"filename\":\"015_how\ have\ you\ been\",\"role\":\"mask\",\"text\":\"Its\ good\ to\ see\ you\ again.\ How\ have\ you\ been\?\",\"gpt_emotion\":\"\",\"gpt_tone\":\"\",\"animate\":{\"pre\":\"affectionate\",\"post\":\"\",\"next_state\":\"\"\},\"azure\":{\"style\":\"\",\"degree\":0,\"pause\":0,\"pitch\":-5,\"rate\":-10,\"volume\":0\},\"emotion\":{\"sadness\":0,\"joy\":1,\"fear\":0,\"disgust\":0,\"anger\":0\},\"sgcom\":{\"mood\":\"\",\"scale\":-1\}\}</v>
      </c>
      <c r="X176" s="36" t="str">
        <f t="shared" si="201"/>
        <v>{#Qid#Q:#Q15#Q#C#Qfilename#Q:#Q015_how#Shave#Syou#Sbeen#Q#C#Qrole#Q:#Qmask#Q#C#Qtext#Q:#QIts#Sgood#Sto#Ssee#Syou#Sagain.#SHow#Shave#Syou#Sbeen?#Q#C#Qgpt_emotion#Q:#Q#Q#C#Qgpt_tone#Q:#Q#Q#C#Qanimate#Q:{#Qpre#Q:#Qaffectionate#Q#C#Qpost#Q:#Q#Q#C#Qnext_state#Q:#Q#Q}#C#Qazure#Q:{#Qstyle#Q:#Q#Q#C#Qdegree#Q:0#C#Qpause#Q:0#C#Qpitch#Q:-5#C#Qrate#Q:-10#C#Qvolume#Q:0}#C#Qemotion#Q:{#Qsadness#Q:0#C#Qjoy#Q:1#C#Qfear#Q:0#C#Qdisgust#Q:0#C#Qanger#Q:0}#C#Qsgcom#Q:{#Qmood#Q:#Q#Q#C#Qscale#Q:-1}}</v>
      </c>
      <c r="Y176" s="40" t="s">
        <v>102</v>
      </c>
      <c r="Z176" s="36" t="str">
        <f t="shared" si="202"/>
        <v>say</v>
      </c>
      <c r="AA176" s="36"/>
      <c r="AB176" s="36" t="str" cm="1">
        <f t="array" ref="AB176">IF(C176="observe",channel_av_observe,"") &amp; IF(C176="register",channel_av_register,"")  &amp; IF(C176="listen",channel_av_listen,"")</f>
        <v/>
      </c>
      <c r="AC176" s="36" t="str">
        <f t="shared" si="203"/>
        <v/>
      </c>
      <c r="AD176" s="36" t="str">
        <f t="shared" si="204"/>
        <v/>
      </c>
      <c r="AE176" s="42" t="s">
        <v>103</v>
      </c>
      <c r="AF176" s="37" t="s">
        <v>104</v>
      </c>
      <c r="AG176" s="37"/>
      <c r="AH176" s="37" t="s">
        <v>329</v>
      </c>
      <c r="AI176" s="37"/>
      <c r="AJ176" s="114">
        <f t="shared" si="205"/>
        <v>15</v>
      </c>
      <c r="AK176" s="56" t="str">
        <f t="shared" si="206"/>
        <v>015_how have you been</v>
      </c>
      <c r="AL176" s="37"/>
      <c r="AM176" s="133"/>
      <c r="AN176" s="37"/>
      <c r="AO176" s="37"/>
      <c r="AP176" s="37"/>
      <c r="AQ176" s="37"/>
      <c r="AR176" s="37"/>
      <c r="AS176" s="37"/>
      <c r="AT176" s="37"/>
      <c r="AU176" s="37"/>
      <c r="AV176" s="37"/>
      <c r="AW176" s="37"/>
      <c r="AX176" s="37"/>
      <c r="AY176" s="37"/>
      <c r="AZ176" s="37"/>
      <c r="BA176" s="37"/>
      <c r="BB176" s="37"/>
      <c r="BC176" s="41"/>
      <c r="BD176" s="42"/>
      <c r="BE176" s="42"/>
      <c r="BF176" s="41"/>
      <c r="BG176" s="104" t="s">
        <v>292</v>
      </c>
      <c r="BH176" s="108"/>
      <c r="BI176" s="108" t="s">
        <v>77</v>
      </c>
      <c r="BJ176" s="110" t="s">
        <v>331</v>
      </c>
      <c r="BK176" s="41"/>
      <c r="BL176" s="42"/>
      <c r="BM176" s="35">
        <v>0</v>
      </c>
      <c r="BN176" s="35">
        <v>0</v>
      </c>
      <c r="BO176" s="35">
        <v>-5</v>
      </c>
      <c r="BP176" s="35">
        <v>-10</v>
      </c>
      <c r="BQ176" s="35">
        <v>0</v>
      </c>
      <c r="BR176" s="41"/>
      <c r="BS176" s="35">
        <v>0</v>
      </c>
      <c r="BT176" s="35">
        <v>1</v>
      </c>
      <c r="BU176" s="35">
        <v>0</v>
      </c>
      <c r="BV176" s="35">
        <v>0</v>
      </c>
      <c r="BW176" s="35">
        <v>0</v>
      </c>
      <c r="BX176" s="41"/>
      <c r="BY176" s="34"/>
      <c r="BZ176" s="43" t="s">
        <v>165</v>
      </c>
      <c r="CA176" s="43" t="s">
        <v>165</v>
      </c>
      <c r="AOE176" s="28"/>
    </row>
    <row r="177" spans="1:79" s="28" customFormat="1">
      <c r="A177" s="32" t="e">
        <f>#REF!+1</f>
        <v>#REF!</v>
      </c>
      <c r="B177" s="32"/>
      <c r="C177" s="73"/>
      <c r="D177" s="73"/>
      <c r="E177" s="73"/>
      <c r="F177" s="73"/>
      <c r="G177" s="73"/>
      <c r="H177" s="126"/>
      <c r="I177" s="36" t="str">
        <f t="shared" si="193"/>
        <v/>
      </c>
      <c r="J177" s="124"/>
      <c r="K177" s="116" t="e">
        <f t="shared" si="194"/>
        <v>#REF!</v>
      </c>
      <c r="L177" s="124"/>
      <c r="M177" s="124"/>
      <c r="N177" s="124"/>
      <c r="O177" s="134"/>
      <c r="P177" s="45"/>
      <c r="Q177" s="45"/>
      <c r="R177" s="45"/>
      <c r="S177" s="45"/>
      <c r="T177" s="157"/>
      <c r="U177" s="45"/>
      <c r="V177" s="45" t="str">
        <f t="shared" si="199"/>
        <v/>
      </c>
      <c r="W177" s="45" t="str">
        <f t="shared" si="200"/>
        <v/>
      </c>
      <c r="X177" s="45" t="str">
        <f t="shared" si="201"/>
        <v/>
      </c>
      <c r="Y177" s="73"/>
      <c r="Z177" s="73" t="str">
        <f t="shared" si="202"/>
        <v/>
      </c>
      <c r="AA177" s="73"/>
      <c r="AB177" s="73"/>
      <c r="AC177" s="73"/>
      <c r="AD177" s="73" t="str">
        <f t="shared" si="204"/>
        <v/>
      </c>
      <c r="AE177" s="42"/>
      <c r="AF177" s="45"/>
      <c r="AG177" s="45"/>
      <c r="AH177" s="45"/>
      <c r="AI177" s="45"/>
      <c r="AJ177" s="45"/>
      <c r="AK177" s="56" t="str">
        <f t="shared" si="206"/>
        <v/>
      </c>
      <c r="AL177" s="45"/>
      <c r="AM177" s="135"/>
      <c r="AN177" s="45"/>
      <c r="AO177" s="45"/>
      <c r="AP177" s="45"/>
      <c r="AQ177" s="45"/>
      <c r="AR177" s="45"/>
      <c r="AS177" s="45"/>
      <c r="AT177" s="45"/>
      <c r="AU177" s="45"/>
      <c r="AV177" s="45"/>
      <c r="AW177" s="45"/>
      <c r="AX177" s="45"/>
      <c r="AY177" s="45"/>
      <c r="AZ177" s="45"/>
      <c r="BA177" s="45"/>
      <c r="BB177" s="45"/>
      <c r="BC177" s="74"/>
      <c r="BD177" s="42"/>
      <c r="BE177" s="45"/>
      <c r="BF177" s="74"/>
      <c r="BG177" s="109"/>
      <c r="BH177" s="109"/>
      <c r="BI177" s="109"/>
      <c r="BJ177" s="111"/>
      <c r="BK177" s="74"/>
      <c r="BL177" s="45"/>
      <c r="BM177" s="45"/>
      <c r="BN177" s="45"/>
      <c r="BO177" s="45"/>
      <c r="BP177" s="45"/>
      <c r="BQ177" s="45"/>
      <c r="BR177" s="74"/>
      <c r="BS177" s="45"/>
      <c r="BT177" s="45"/>
      <c r="BU177" s="45"/>
      <c r="BV177" s="45"/>
      <c r="BW177" s="45"/>
      <c r="BX177" s="74"/>
      <c r="BY177" s="45"/>
      <c r="BZ177" s="45"/>
      <c r="CA177" s="45"/>
    </row>
    <row r="178" spans="1:79" s="28" customFormat="1">
      <c r="A178" s="32" t="e">
        <f>A177+1</f>
        <v>#REF!</v>
      </c>
      <c r="B178" s="32"/>
      <c r="C178" s="73"/>
      <c r="D178" s="73"/>
      <c r="E178" s="73"/>
      <c r="F178" s="73"/>
      <c r="G178" s="73"/>
      <c r="H178" s="126"/>
      <c r="I178" s="36" t="str">
        <f t="shared" si="193"/>
        <v/>
      </c>
      <c r="J178" s="124"/>
      <c r="K178" s="116" t="e">
        <f t="shared" si="194"/>
        <v>#REF!</v>
      </c>
      <c r="L178" s="124"/>
      <c r="M178" s="124"/>
      <c r="N178" s="124"/>
      <c r="O178" s="134"/>
      <c r="P178" s="45"/>
      <c r="Q178" s="45"/>
      <c r="R178" s="45"/>
      <c r="S178" s="45"/>
      <c r="T178" s="157"/>
      <c r="U178" s="45"/>
      <c r="V178" s="45" t="str">
        <f t="shared" si="199"/>
        <v/>
      </c>
      <c r="W178" s="45" t="str">
        <f t="shared" si="200"/>
        <v/>
      </c>
      <c r="X178" s="45" t="str">
        <f t="shared" si="201"/>
        <v/>
      </c>
      <c r="Y178" s="73"/>
      <c r="Z178" s="73" t="str">
        <f t="shared" si="202"/>
        <v/>
      </c>
      <c r="AA178" s="73"/>
      <c r="AB178" s="73"/>
      <c r="AC178" s="73"/>
      <c r="AD178" s="73" t="str">
        <f t="shared" si="204"/>
        <v/>
      </c>
      <c r="AE178" s="42"/>
      <c r="AF178" s="45"/>
      <c r="AG178" s="45"/>
      <c r="AH178" s="45"/>
      <c r="AI178" s="45"/>
      <c r="AJ178" s="45"/>
      <c r="AK178" s="56" t="str">
        <f t="shared" si="206"/>
        <v/>
      </c>
      <c r="AL178" s="45"/>
      <c r="AM178" s="135"/>
      <c r="AN178" s="45"/>
      <c r="AO178" s="45"/>
      <c r="AP178" s="45"/>
      <c r="AQ178" s="45"/>
      <c r="AR178" s="45"/>
      <c r="AS178" s="45"/>
      <c r="AT178" s="45"/>
      <c r="AU178" s="45"/>
      <c r="AV178" s="45"/>
      <c r="AW178" s="45"/>
      <c r="AX178" s="45"/>
      <c r="AY178" s="45"/>
      <c r="AZ178" s="45"/>
      <c r="BA178" s="45"/>
      <c r="BB178" s="45"/>
      <c r="BC178" s="74"/>
      <c r="BD178" s="42"/>
      <c r="BE178" s="45"/>
      <c r="BF178" s="74"/>
      <c r="BG178" s="109"/>
      <c r="BH178" s="109"/>
      <c r="BI178" s="109"/>
      <c r="BJ178" s="111"/>
      <c r="BK178" s="74"/>
      <c r="BL178" s="45"/>
      <c r="BM178" s="45"/>
      <c r="BN178" s="45"/>
      <c r="BO178" s="45"/>
      <c r="BP178" s="45"/>
      <c r="BQ178" s="45"/>
      <c r="BR178" s="74"/>
      <c r="BS178" s="45"/>
      <c r="BT178" s="45"/>
      <c r="BU178" s="45"/>
      <c r="BV178" s="45"/>
      <c r="BW178" s="45"/>
      <c r="BX178" s="74"/>
      <c r="BY178" s="45"/>
      <c r="BZ178" s="45"/>
      <c r="CA178" s="45"/>
    </row>
  </sheetData>
  <autoFilter ref="A3:BZ137" xr:uid="{00000000-0001-0000-0100-000000000000}"/>
  <dataConsolidate/>
  <mergeCells count="7">
    <mergeCell ref="BY2:BZ2"/>
    <mergeCell ref="Y2:AD2"/>
    <mergeCell ref="A2:E2"/>
    <mergeCell ref="BG2:BI2"/>
    <mergeCell ref="BL2:BP2"/>
    <mergeCell ref="BS2:BW2"/>
    <mergeCell ref="AF2:AL2"/>
  </mergeCells>
  <conditionalFormatting sqref="U2:AF2 AM2:BZ2 A2:F2 A3:BZ3 AL7:BZ7 A124:BZ124 AA8:BZ123 AA7:AJ7 AA4:BZ6 A126:BZ126 AA125:BZ125 A125:Y125 A128:BZ178 AA127:BZ127 A127:Y127 CA2:CA178 A4:Y123">
    <cfRule type="expression" dxfId="36" priority="28" stopIfTrue="1">
      <formula>$C2="play"</formula>
    </cfRule>
    <cfRule type="expression" dxfId="35" priority="29" stopIfTrue="1">
      <formula>$C2="screen"</formula>
    </cfRule>
    <cfRule type="expression" dxfId="34" priority="32" stopIfTrue="1">
      <formula>$C2="speak"</formula>
    </cfRule>
    <cfRule type="expression" dxfId="33" priority="33" stopIfTrue="1">
      <formula>$C2="maketext"</formula>
    </cfRule>
    <cfRule type="expression" dxfId="32" priority="34" stopIfTrue="1">
      <formula>$C2="listen"</formula>
    </cfRule>
    <cfRule type="expression" dxfId="31" priority="43" stopIfTrue="1">
      <formula>$C2="hallucinate"</formula>
    </cfRule>
    <cfRule type="expression" dxfId="30" priority="44" stopIfTrue="1">
      <formula>#REF!="x"</formula>
    </cfRule>
    <cfRule type="expression" dxfId="29" priority="45" stopIfTrue="1">
      <formula>$C2="speak_gpt"</formula>
    </cfRule>
    <cfRule type="expression" dxfId="28" priority="50" stopIfTrue="1">
      <formula>$C2="listen"</formula>
    </cfRule>
    <cfRule type="expression" dxfId="27" priority="51">
      <formula>OR($C2="fakemake",$C2="faketomask")</formula>
    </cfRule>
    <cfRule type="expression" dxfId="26" priority="52" stopIfTrue="1">
      <formula>OR($C2="deepfake_data",$C2="mask_screenvoice",$C2="screen_azurevoice")</formula>
    </cfRule>
    <cfRule type="expression" dxfId="25" priority="53" stopIfTrue="1">
      <formula>OR($C2="mood",$C2="state",$C2="action",$C2="pause",$C2="sound")</formula>
    </cfRule>
    <cfRule type="expression" dxfId="24" priority="54" stopIfTrue="1">
      <formula>OR($C2="observe",$C2="register")</formula>
    </cfRule>
  </conditionalFormatting>
  <conditionalFormatting sqref="Z4:Z141">
    <cfRule type="expression" dxfId="23" priority="1" stopIfTrue="1">
      <formula>$C4="play"</formula>
    </cfRule>
    <cfRule type="expression" dxfId="22" priority="2" stopIfTrue="1">
      <formula>$C4="screen"</formula>
    </cfRule>
    <cfRule type="expression" dxfId="21" priority="3" stopIfTrue="1">
      <formula>$C4="speak"</formula>
    </cfRule>
    <cfRule type="expression" dxfId="20" priority="4" stopIfTrue="1">
      <formula>$C4="maketext"</formula>
    </cfRule>
    <cfRule type="expression" dxfId="19" priority="5" stopIfTrue="1">
      <formula>$C4="listen"</formula>
    </cfRule>
    <cfRule type="expression" dxfId="18" priority="6" stopIfTrue="1">
      <formula>$C4="hallucinate"</formula>
    </cfRule>
    <cfRule type="expression" dxfId="17" priority="7" stopIfTrue="1">
      <formula>#REF!="x"</formula>
    </cfRule>
    <cfRule type="expression" dxfId="16" priority="8" stopIfTrue="1">
      <formula>$C4="speak_gpt"</formula>
    </cfRule>
    <cfRule type="expression" dxfId="15" priority="9" stopIfTrue="1">
      <formula>$C4="listen"</formula>
    </cfRule>
    <cfRule type="expression" dxfId="14" priority="10">
      <formula>OR($C4="fakemake",$C4="faketomask")</formula>
    </cfRule>
    <cfRule type="expression" dxfId="13" priority="11" stopIfTrue="1">
      <formula>OR($C4="deepfake_data",$C4="mask_screenvoice",$C4="screen_azurevoice")</formula>
    </cfRule>
    <cfRule type="expression" dxfId="12" priority="12" stopIfTrue="1">
      <formula>OR($C4="mood",$C4="state",$C4="action",$C4="pause",$C4="sound")</formula>
    </cfRule>
    <cfRule type="expression" dxfId="11" priority="13" stopIfTrue="1">
      <formula>OR($C4="observe",$C4="register")</formula>
    </cfRule>
  </conditionalFormatting>
  <dataValidations disablePrompts="1" count="8">
    <dataValidation type="list" allowBlank="1" showInputMessage="1" showErrorMessage="1" sqref="BL6 BL17 BL19:BL20 BL23 BL26:BL27 BL31 BL33 BL35 BL51 BL54:BL55 BL94 BL105 BL107 BL111 BL113 BL115 BL117 BL119:BL120 BL77 BL37:BL41 BL44 BL65 BL8 BL86 BL88:BL91 BL82 BL109 BL162:BL176 BL67 BL79:BL80 BL69 BL71 BL47 BL49 BL97:BL100 BL102:BL103 BL125 BL127" xr:uid="{00000000-0002-0000-0100-000000000000}">
      <formula1>list_azu_styles</formula1>
      <formula2>0</formula2>
    </dataValidation>
    <dataValidation type="list" allowBlank="1" showInputMessage="1" showErrorMessage="1" sqref="BH150:BH152 BE65 BH154 BE67 BH162:BH169 BE8 BH171:BH174 BE51 BE86 BE119:BE120 BE94 BE109 BE162:BE176 BE107 BE88:BE91 BE71 BE69 BE111 BE82 BE117 BE115 BE113 BE6 BE105 BE80 BE54:BE55 BE35 BE33 BE31 BE26:BE27 BE23 BE19:BE20 BE17 BE49 BE37:BE41 BE47 BE44 BE97:BE100 BE102:BE103 BE125 BE127" xr:uid="{00000000-0002-0000-0100-000001000000}">
      <formula1>list_gpt_tones</formula1>
      <formula2>0</formula2>
    </dataValidation>
    <dataValidation type="list" allowBlank="1" showInputMessage="1" showErrorMessage="1" sqref="BH149 BH170" xr:uid="{00000000-0002-0000-0100-000003000000}">
      <formula1>list_animations</formula1>
      <formula2>0</formula2>
    </dataValidation>
    <dataValidation type="list" allowBlank="1" showInputMessage="1" showErrorMessage="1" sqref="AE4 AE16" xr:uid="{787D675F-7ACE-E544-BFD4-8F9D4F962B73}">
      <formula1>list_mask_roles</formula1>
    </dataValidation>
    <dataValidation type="list" allowBlank="1" showInputMessage="1" showErrorMessage="1" sqref="BY162:BY176 BY4:BY120 BY125 BY127" xr:uid="{00000000-0002-0000-0100-000004000000}">
      <formula1>list_sg_moods</formula1>
      <formula2>0</formula2>
    </dataValidation>
    <dataValidation type="list" allowBlank="1" showInputMessage="1" showErrorMessage="1" sqref="BI149:BJ154 BI162:BJ176 BI4:BJ121 BI125:BJ125 BI127:BJ127" xr:uid="{92BF6263-725B-3646-ACBB-996F1A947660}">
      <formula1>list_unreal_states</formula1>
      <formula2>0</formula2>
    </dataValidation>
    <dataValidation type="list" allowBlank="1" showInputMessage="1" showErrorMessage="1" sqref="BD162:BD178 BD4:BD123 BD141 AE124 BD125 AE126 AE128:AE140 BD127" xr:uid="{D6B97067-E2EB-3948-AAE8-6878688D033F}">
      <formula1>list_gpt_emotion</formula1>
    </dataValidation>
    <dataValidation type="list" allowBlank="1" showInputMessage="1" showErrorMessage="1" sqref="BG4:BH141" xr:uid="{BDB37C3A-DE10-384D-84BF-6CE06AA72246}">
      <formula1>list_animations</formula1>
    </dataValidation>
  </dataValidations>
  <pageMargins left="0.7" right="0.7" top="0.75" bottom="0.75"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07" r:id="rId3" name="Button 83">
              <controlPr defaultSize="0" print="0" autoFill="0" autoPict="0" macro="[0]!osc_call">
                <anchor moveWithCells="1" sizeWithCells="1">
                  <from>
                    <xdr:col>20</xdr:col>
                    <xdr:colOff>12700</xdr:colOff>
                    <xdr:row>18</xdr:row>
                    <xdr:rowOff>12700</xdr:rowOff>
                  </from>
                  <to>
                    <xdr:col>20</xdr:col>
                    <xdr:colOff>304800</xdr:colOff>
                    <xdr:row>18</xdr:row>
                    <xdr:rowOff>177800</xdr:rowOff>
                  </to>
                </anchor>
              </controlPr>
            </control>
          </mc:Choice>
        </mc:AlternateContent>
        <mc:AlternateContent xmlns:mc="http://schemas.openxmlformats.org/markup-compatibility/2006">
          <mc:Choice Requires="x14">
            <control shapeId="1108" r:id="rId4" name="Button 84">
              <controlPr defaultSize="0" print="0" autoFill="0" autoPict="0" macro="[0]!osc_call">
                <anchor moveWithCells="1" sizeWithCells="1">
                  <from>
                    <xdr:col>20</xdr:col>
                    <xdr:colOff>12700</xdr:colOff>
                    <xdr:row>19</xdr:row>
                    <xdr:rowOff>12700</xdr:rowOff>
                  </from>
                  <to>
                    <xdr:col>20</xdr:col>
                    <xdr:colOff>304800</xdr:colOff>
                    <xdr:row>19</xdr:row>
                    <xdr:rowOff>177800</xdr:rowOff>
                  </to>
                </anchor>
              </controlPr>
            </control>
          </mc:Choice>
        </mc:AlternateContent>
        <mc:AlternateContent xmlns:mc="http://schemas.openxmlformats.org/markup-compatibility/2006">
          <mc:Choice Requires="x14">
            <control shapeId="1128" r:id="rId5" name="Button 104">
              <controlPr defaultSize="0" print="0" autoFill="0" autoPict="0" macro="[0]!osc_call">
                <anchor moveWithCells="1" sizeWithCells="1">
                  <from>
                    <xdr:col>20</xdr:col>
                    <xdr:colOff>12700</xdr:colOff>
                    <xdr:row>32</xdr:row>
                    <xdr:rowOff>12700</xdr:rowOff>
                  </from>
                  <to>
                    <xdr:col>20</xdr:col>
                    <xdr:colOff>304800</xdr:colOff>
                    <xdr:row>32</xdr:row>
                    <xdr:rowOff>177800</xdr:rowOff>
                  </to>
                </anchor>
              </controlPr>
            </control>
          </mc:Choice>
        </mc:AlternateContent>
        <mc:AlternateContent xmlns:mc="http://schemas.openxmlformats.org/markup-compatibility/2006">
          <mc:Choice Requires="x14">
            <control shapeId="1129" r:id="rId6" name="Button 105">
              <controlPr defaultSize="0" print="0" autoFill="0" autoPict="0" macro="[0]!osc_call">
                <anchor moveWithCells="1" sizeWithCells="1">
                  <from>
                    <xdr:col>20</xdr:col>
                    <xdr:colOff>12700</xdr:colOff>
                    <xdr:row>34</xdr:row>
                    <xdr:rowOff>12700</xdr:rowOff>
                  </from>
                  <to>
                    <xdr:col>20</xdr:col>
                    <xdr:colOff>304800</xdr:colOff>
                    <xdr:row>34</xdr:row>
                    <xdr:rowOff>177800</xdr:rowOff>
                  </to>
                </anchor>
              </controlPr>
            </control>
          </mc:Choice>
        </mc:AlternateContent>
        <mc:AlternateContent xmlns:mc="http://schemas.openxmlformats.org/markup-compatibility/2006">
          <mc:Choice Requires="x14">
            <control shapeId="1131" r:id="rId7" name="Button 107">
              <controlPr defaultSize="0" print="0" autoFill="0" autoPict="0" macro="[0]!osc_call">
                <anchor moveWithCells="1" sizeWithCells="1">
                  <from>
                    <xdr:col>20</xdr:col>
                    <xdr:colOff>12700</xdr:colOff>
                    <xdr:row>54</xdr:row>
                    <xdr:rowOff>12700</xdr:rowOff>
                  </from>
                  <to>
                    <xdr:col>20</xdr:col>
                    <xdr:colOff>304800</xdr:colOff>
                    <xdr:row>54</xdr:row>
                    <xdr:rowOff>177800</xdr:rowOff>
                  </to>
                </anchor>
              </controlPr>
            </control>
          </mc:Choice>
        </mc:AlternateContent>
        <mc:AlternateContent xmlns:mc="http://schemas.openxmlformats.org/markup-compatibility/2006">
          <mc:Choice Requires="x14">
            <control shapeId="1141" r:id="rId8" name="Button 117">
              <controlPr defaultSize="0" print="0" autoFill="0" autoPict="0" macro="[0]!osc_call">
                <anchor moveWithCells="1" sizeWithCells="1">
                  <from>
                    <xdr:col>20</xdr:col>
                    <xdr:colOff>12700</xdr:colOff>
                    <xdr:row>104</xdr:row>
                    <xdr:rowOff>12700</xdr:rowOff>
                  </from>
                  <to>
                    <xdr:col>20</xdr:col>
                    <xdr:colOff>304800</xdr:colOff>
                    <xdr:row>104</xdr:row>
                    <xdr:rowOff>177800</xdr:rowOff>
                  </to>
                </anchor>
              </controlPr>
            </control>
          </mc:Choice>
        </mc:AlternateContent>
        <mc:AlternateContent xmlns:mc="http://schemas.openxmlformats.org/markup-compatibility/2006">
          <mc:Choice Requires="x14">
            <control shapeId="1143" r:id="rId9" name="Button 119">
              <controlPr defaultSize="0" print="0" autoFill="0" autoPict="0" macro="[0]!osc_call">
                <anchor moveWithCells="1" sizeWithCells="1">
                  <from>
                    <xdr:col>20</xdr:col>
                    <xdr:colOff>12700</xdr:colOff>
                    <xdr:row>116</xdr:row>
                    <xdr:rowOff>12700</xdr:rowOff>
                  </from>
                  <to>
                    <xdr:col>20</xdr:col>
                    <xdr:colOff>304800</xdr:colOff>
                    <xdr:row>116</xdr:row>
                    <xdr:rowOff>177800</xdr:rowOff>
                  </to>
                </anchor>
              </controlPr>
            </control>
          </mc:Choice>
        </mc:AlternateContent>
        <mc:AlternateContent xmlns:mc="http://schemas.openxmlformats.org/markup-compatibility/2006">
          <mc:Choice Requires="x14">
            <control shapeId="1144" r:id="rId10" name="Button 120">
              <controlPr defaultSize="0" print="0" autoFill="0" autoPict="0" macro="[0]!osc_call">
                <anchor moveWithCells="1" sizeWithCells="1">
                  <from>
                    <xdr:col>20</xdr:col>
                    <xdr:colOff>12700</xdr:colOff>
                    <xdr:row>118</xdr:row>
                    <xdr:rowOff>12700</xdr:rowOff>
                  </from>
                  <to>
                    <xdr:col>20</xdr:col>
                    <xdr:colOff>304800</xdr:colOff>
                    <xdr:row>118</xdr:row>
                    <xdr:rowOff>177800</xdr:rowOff>
                  </to>
                </anchor>
              </controlPr>
            </control>
          </mc:Choice>
        </mc:AlternateContent>
        <mc:AlternateContent xmlns:mc="http://schemas.openxmlformats.org/markup-compatibility/2006">
          <mc:Choice Requires="x14">
            <control shapeId="1145" r:id="rId11" name="Button 121">
              <controlPr defaultSize="0" print="0" autoFill="0" autoPict="0" macro="[0]!osc_call">
                <anchor moveWithCells="1" sizeWithCells="1">
                  <from>
                    <xdr:col>20</xdr:col>
                    <xdr:colOff>12700</xdr:colOff>
                    <xdr:row>119</xdr:row>
                    <xdr:rowOff>12700</xdr:rowOff>
                  </from>
                  <to>
                    <xdr:col>20</xdr:col>
                    <xdr:colOff>304800</xdr:colOff>
                    <xdr:row>119</xdr:row>
                    <xdr:rowOff>177800</xdr:rowOff>
                  </to>
                </anchor>
              </controlPr>
            </control>
          </mc:Choice>
        </mc:AlternateContent>
        <mc:AlternateContent xmlns:mc="http://schemas.openxmlformats.org/markup-compatibility/2006">
          <mc:Choice Requires="x14">
            <control shapeId="1184" r:id="rId12" name="Button 160">
              <controlPr defaultSize="0" print="0" autoFill="0" autoPict="0" macro="[0]!osc_call">
                <anchor moveWithCells="1" sizeWithCells="1">
                  <from>
                    <xdr:col>20</xdr:col>
                    <xdr:colOff>12700</xdr:colOff>
                    <xdr:row>76</xdr:row>
                    <xdr:rowOff>12700</xdr:rowOff>
                  </from>
                  <to>
                    <xdr:col>20</xdr:col>
                    <xdr:colOff>304800</xdr:colOff>
                    <xdr:row>76</xdr:row>
                    <xdr:rowOff>177800</xdr:rowOff>
                  </to>
                </anchor>
              </controlPr>
            </control>
          </mc:Choice>
        </mc:AlternateContent>
        <mc:AlternateContent xmlns:mc="http://schemas.openxmlformats.org/markup-compatibility/2006">
          <mc:Choice Requires="x14">
            <control shapeId="1185" r:id="rId13" name="Button 161">
              <controlPr defaultSize="0" print="0" autoFill="0" autoPict="0" macro="[0]!osc_call">
                <anchor moveWithCells="1" sizeWithCells="1">
                  <from>
                    <xdr:col>20</xdr:col>
                    <xdr:colOff>12700</xdr:colOff>
                    <xdr:row>78</xdr:row>
                    <xdr:rowOff>12700</xdr:rowOff>
                  </from>
                  <to>
                    <xdr:col>20</xdr:col>
                    <xdr:colOff>304800</xdr:colOff>
                    <xdr:row>78</xdr:row>
                    <xdr:rowOff>177800</xdr:rowOff>
                  </to>
                </anchor>
              </controlPr>
            </control>
          </mc:Choice>
        </mc:AlternateContent>
        <mc:AlternateContent xmlns:mc="http://schemas.openxmlformats.org/markup-compatibility/2006">
          <mc:Choice Requires="x14">
            <control shapeId="1203" r:id="rId14" name="Button 179">
              <controlPr defaultSize="0" print="0" autoFill="0" autoPict="0" macro="[0]!osc_call">
                <anchor moveWithCells="1" sizeWithCells="1">
                  <from>
                    <xdr:col>20</xdr:col>
                    <xdr:colOff>12700</xdr:colOff>
                    <xdr:row>22</xdr:row>
                    <xdr:rowOff>12700</xdr:rowOff>
                  </from>
                  <to>
                    <xdr:col>20</xdr:col>
                    <xdr:colOff>304800</xdr:colOff>
                    <xdr:row>22</xdr:row>
                    <xdr:rowOff>177800</xdr:rowOff>
                  </to>
                </anchor>
              </controlPr>
            </control>
          </mc:Choice>
        </mc:AlternateContent>
        <mc:AlternateContent xmlns:mc="http://schemas.openxmlformats.org/markup-compatibility/2006">
          <mc:Choice Requires="x14">
            <control shapeId="1204" r:id="rId15" name="Button 180">
              <controlPr defaultSize="0" print="0" autoFill="0" autoPict="0" macro="[0]!osc_call">
                <anchor moveWithCells="1" sizeWithCells="1">
                  <from>
                    <xdr:col>20</xdr:col>
                    <xdr:colOff>12700</xdr:colOff>
                    <xdr:row>25</xdr:row>
                    <xdr:rowOff>12700</xdr:rowOff>
                  </from>
                  <to>
                    <xdr:col>20</xdr:col>
                    <xdr:colOff>304800</xdr:colOff>
                    <xdr:row>25</xdr:row>
                    <xdr:rowOff>177800</xdr:rowOff>
                  </to>
                </anchor>
              </controlPr>
            </control>
          </mc:Choice>
        </mc:AlternateContent>
        <mc:AlternateContent xmlns:mc="http://schemas.openxmlformats.org/markup-compatibility/2006">
          <mc:Choice Requires="x14">
            <control shapeId="1205" r:id="rId16" name="Button 181">
              <controlPr defaultSize="0" print="0" autoFill="0" autoPict="0" macro="[0]!osc_call">
                <anchor moveWithCells="1" sizeWithCells="1">
                  <from>
                    <xdr:col>20</xdr:col>
                    <xdr:colOff>12700</xdr:colOff>
                    <xdr:row>30</xdr:row>
                    <xdr:rowOff>12700</xdr:rowOff>
                  </from>
                  <to>
                    <xdr:col>20</xdr:col>
                    <xdr:colOff>304800</xdr:colOff>
                    <xdr:row>30</xdr:row>
                    <xdr:rowOff>177800</xdr:rowOff>
                  </to>
                </anchor>
              </controlPr>
            </control>
          </mc:Choice>
        </mc:AlternateContent>
        <mc:AlternateContent xmlns:mc="http://schemas.openxmlformats.org/markup-compatibility/2006">
          <mc:Choice Requires="x14">
            <control shapeId="1208" r:id="rId17" name="Button 184">
              <controlPr defaultSize="0" print="0" autoFill="0" autoPict="0" macro="[0]!osc_call">
                <anchor moveWithCells="1" sizeWithCells="1">
                  <from>
                    <xdr:col>20</xdr:col>
                    <xdr:colOff>12700</xdr:colOff>
                    <xdr:row>110</xdr:row>
                    <xdr:rowOff>12700</xdr:rowOff>
                  </from>
                  <to>
                    <xdr:col>20</xdr:col>
                    <xdr:colOff>304800</xdr:colOff>
                    <xdr:row>110</xdr:row>
                    <xdr:rowOff>177800</xdr:rowOff>
                  </to>
                </anchor>
              </controlPr>
            </control>
          </mc:Choice>
        </mc:AlternateContent>
        <mc:AlternateContent xmlns:mc="http://schemas.openxmlformats.org/markup-compatibility/2006">
          <mc:Choice Requires="x14">
            <control shapeId="1209" r:id="rId18" name="Button 185">
              <controlPr defaultSize="0" print="0" autoFill="0" autoPict="0" macro="[0]!osc_call">
                <anchor moveWithCells="1" sizeWithCells="1">
                  <from>
                    <xdr:col>20</xdr:col>
                    <xdr:colOff>12700</xdr:colOff>
                    <xdr:row>112</xdr:row>
                    <xdr:rowOff>12700</xdr:rowOff>
                  </from>
                  <to>
                    <xdr:col>20</xdr:col>
                    <xdr:colOff>304800</xdr:colOff>
                    <xdr:row>112</xdr:row>
                    <xdr:rowOff>177800</xdr:rowOff>
                  </to>
                </anchor>
              </controlPr>
            </control>
          </mc:Choice>
        </mc:AlternateContent>
        <mc:AlternateContent xmlns:mc="http://schemas.openxmlformats.org/markup-compatibility/2006">
          <mc:Choice Requires="x14">
            <control shapeId="1210" r:id="rId19" name="Button 186">
              <controlPr defaultSize="0" print="0" autoFill="0" autoPict="0" macro="[0]!osc_call">
                <anchor moveWithCells="1" sizeWithCells="1">
                  <from>
                    <xdr:col>20</xdr:col>
                    <xdr:colOff>12700</xdr:colOff>
                    <xdr:row>114</xdr:row>
                    <xdr:rowOff>12700</xdr:rowOff>
                  </from>
                  <to>
                    <xdr:col>20</xdr:col>
                    <xdr:colOff>304800</xdr:colOff>
                    <xdr:row>114</xdr:row>
                    <xdr:rowOff>177800</xdr:rowOff>
                  </to>
                </anchor>
              </controlPr>
            </control>
          </mc:Choice>
        </mc:AlternateContent>
        <mc:AlternateContent xmlns:mc="http://schemas.openxmlformats.org/markup-compatibility/2006">
          <mc:Choice Requires="x14">
            <control shapeId="1211" r:id="rId20" name="Button 187">
              <controlPr defaultSize="0" print="0" autoFill="0" autoPict="0" macro="[0]!osc_call">
                <anchor moveWithCells="1" sizeWithCells="1">
                  <from>
                    <xdr:col>20</xdr:col>
                    <xdr:colOff>12700</xdr:colOff>
                    <xdr:row>120</xdr:row>
                    <xdr:rowOff>12700</xdr:rowOff>
                  </from>
                  <to>
                    <xdr:col>20</xdr:col>
                    <xdr:colOff>304800</xdr:colOff>
                    <xdr:row>120</xdr:row>
                    <xdr:rowOff>177800</xdr:rowOff>
                  </to>
                </anchor>
              </controlPr>
            </control>
          </mc:Choice>
        </mc:AlternateContent>
        <mc:AlternateContent xmlns:mc="http://schemas.openxmlformats.org/markup-compatibility/2006">
          <mc:Choice Requires="x14">
            <control shapeId="1183" r:id="rId21" name="Button 159">
              <controlPr defaultSize="0" print="0" autoFill="0" autoPict="0" macro="[0]!osc_call">
                <anchor moveWithCells="1" sizeWithCells="1">
                  <from>
                    <xdr:col>20</xdr:col>
                    <xdr:colOff>12700</xdr:colOff>
                    <xdr:row>74</xdr:row>
                    <xdr:rowOff>12700</xdr:rowOff>
                  </from>
                  <to>
                    <xdr:col>20</xdr:col>
                    <xdr:colOff>304800</xdr:colOff>
                    <xdr:row>74</xdr:row>
                    <xdr:rowOff>177800</xdr:rowOff>
                  </to>
                </anchor>
              </controlPr>
            </control>
          </mc:Choice>
        </mc:AlternateContent>
        <mc:AlternateContent xmlns:mc="http://schemas.openxmlformats.org/markup-compatibility/2006">
          <mc:Choice Requires="x14">
            <control shapeId="1130" r:id="rId22" name="Button 106">
              <controlPr defaultSize="0" print="0" autoFill="0" autoPict="0" macro="[0]!osc_call">
                <anchor moveWithCells="1" sizeWithCells="1">
                  <from>
                    <xdr:col>20</xdr:col>
                    <xdr:colOff>12700</xdr:colOff>
                    <xdr:row>50</xdr:row>
                    <xdr:rowOff>12700</xdr:rowOff>
                  </from>
                  <to>
                    <xdr:col>20</xdr:col>
                    <xdr:colOff>304800</xdr:colOff>
                    <xdr:row>50</xdr:row>
                    <xdr:rowOff>177800</xdr:rowOff>
                  </to>
                </anchor>
              </controlPr>
            </control>
          </mc:Choice>
        </mc:AlternateContent>
        <mc:AlternateContent xmlns:mc="http://schemas.openxmlformats.org/markup-compatibility/2006">
          <mc:Choice Requires="x14">
            <control shapeId="1270" r:id="rId23" name="Button 246">
              <controlPr defaultSize="0" print="0" autoFill="0" autoPict="0" macro="[0]!osc_call">
                <anchor moveWithCells="1" sizeWithCells="1">
                  <from>
                    <xdr:col>20</xdr:col>
                    <xdr:colOff>12700</xdr:colOff>
                    <xdr:row>36</xdr:row>
                    <xdr:rowOff>12700</xdr:rowOff>
                  </from>
                  <to>
                    <xdr:col>20</xdr:col>
                    <xdr:colOff>304800</xdr:colOff>
                    <xdr:row>36</xdr:row>
                    <xdr:rowOff>177800</xdr:rowOff>
                  </to>
                </anchor>
              </controlPr>
            </control>
          </mc:Choice>
        </mc:AlternateContent>
        <mc:AlternateContent xmlns:mc="http://schemas.openxmlformats.org/markup-compatibility/2006">
          <mc:Choice Requires="x14">
            <control shapeId="1132" r:id="rId24" name="Button 108">
              <controlPr defaultSize="0" print="0" autoFill="0" autoPict="0" macro="[0]!osc_call">
                <anchor moveWithCells="1" sizeWithCells="1">
                  <from>
                    <xdr:col>20</xdr:col>
                    <xdr:colOff>12700</xdr:colOff>
                    <xdr:row>38</xdr:row>
                    <xdr:rowOff>12700</xdr:rowOff>
                  </from>
                  <to>
                    <xdr:col>20</xdr:col>
                    <xdr:colOff>304800</xdr:colOff>
                    <xdr:row>38</xdr:row>
                    <xdr:rowOff>177800</xdr:rowOff>
                  </to>
                </anchor>
              </controlPr>
            </control>
          </mc:Choice>
        </mc:AlternateContent>
        <mc:AlternateContent xmlns:mc="http://schemas.openxmlformats.org/markup-compatibility/2006">
          <mc:Choice Requires="x14">
            <control shapeId="1133" r:id="rId25" name="Button 109">
              <controlPr defaultSize="0" print="0" autoFill="0" autoPict="0" macro="[0]!osc_call">
                <anchor moveWithCells="1" sizeWithCells="1">
                  <from>
                    <xdr:col>20</xdr:col>
                    <xdr:colOff>12700</xdr:colOff>
                    <xdr:row>40</xdr:row>
                    <xdr:rowOff>12700</xdr:rowOff>
                  </from>
                  <to>
                    <xdr:col>20</xdr:col>
                    <xdr:colOff>304800</xdr:colOff>
                    <xdr:row>40</xdr:row>
                    <xdr:rowOff>177800</xdr:rowOff>
                  </to>
                </anchor>
              </controlPr>
            </control>
          </mc:Choice>
        </mc:AlternateContent>
        <mc:AlternateContent xmlns:mc="http://schemas.openxmlformats.org/markup-compatibility/2006">
          <mc:Choice Requires="x14">
            <control shapeId="1271" r:id="rId26" name="Button 247">
              <controlPr defaultSize="0" print="0" autoFill="0" autoPict="0" macro="[0]!osc_call">
                <anchor moveWithCells="1" sizeWithCells="1">
                  <from>
                    <xdr:col>20</xdr:col>
                    <xdr:colOff>12700</xdr:colOff>
                    <xdr:row>48</xdr:row>
                    <xdr:rowOff>12700</xdr:rowOff>
                  </from>
                  <to>
                    <xdr:col>20</xdr:col>
                    <xdr:colOff>304800</xdr:colOff>
                    <xdr:row>48</xdr:row>
                    <xdr:rowOff>177800</xdr:rowOff>
                  </to>
                </anchor>
              </controlPr>
            </control>
          </mc:Choice>
        </mc:AlternateContent>
        <mc:AlternateContent xmlns:mc="http://schemas.openxmlformats.org/markup-compatibility/2006">
          <mc:Choice Requires="x14">
            <control shapeId="1273" r:id="rId27" name="Button 249">
              <controlPr defaultSize="0" print="0" autoFill="0" autoPict="0" macro="[0]!osc_call">
                <anchor moveWithCells="1" sizeWithCells="1">
                  <from>
                    <xdr:col>20</xdr:col>
                    <xdr:colOff>12700</xdr:colOff>
                    <xdr:row>66</xdr:row>
                    <xdr:rowOff>12700</xdr:rowOff>
                  </from>
                  <to>
                    <xdr:col>20</xdr:col>
                    <xdr:colOff>304800</xdr:colOff>
                    <xdr:row>66</xdr:row>
                    <xdr:rowOff>177800</xdr:rowOff>
                  </to>
                </anchor>
              </controlPr>
            </control>
          </mc:Choice>
        </mc:AlternateContent>
        <mc:AlternateContent xmlns:mc="http://schemas.openxmlformats.org/markup-compatibility/2006">
          <mc:Choice Requires="x14">
            <control shapeId="1274" r:id="rId28" name="Button 250">
              <controlPr defaultSize="0" print="0" autoFill="0" autoPict="0" macro="[0]!osc_call">
                <anchor moveWithCells="1" sizeWithCells="1">
                  <from>
                    <xdr:col>20</xdr:col>
                    <xdr:colOff>12700</xdr:colOff>
                    <xdr:row>79</xdr:row>
                    <xdr:rowOff>12700</xdr:rowOff>
                  </from>
                  <to>
                    <xdr:col>20</xdr:col>
                    <xdr:colOff>304800</xdr:colOff>
                    <xdr:row>79</xdr:row>
                    <xdr:rowOff>177800</xdr:rowOff>
                  </to>
                </anchor>
              </controlPr>
            </control>
          </mc:Choice>
        </mc:AlternateContent>
        <mc:AlternateContent xmlns:mc="http://schemas.openxmlformats.org/markup-compatibility/2006">
          <mc:Choice Requires="x14">
            <control shapeId="1275" r:id="rId29" name="Button 251">
              <controlPr defaultSize="0" print="0" autoFill="0" autoPict="0" macro="[0]!osc_call">
                <anchor moveWithCells="1" sizeWithCells="1">
                  <from>
                    <xdr:col>20</xdr:col>
                    <xdr:colOff>12700</xdr:colOff>
                    <xdr:row>81</xdr:row>
                    <xdr:rowOff>12700</xdr:rowOff>
                  </from>
                  <to>
                    <xdr:col>20</xdr:col>
                    <xdr:colOff>304800</xdr:colOff>
                    <xdr:row>81</xdr:row>
                    <xdr:rowOff>177800</xdr:rowOff>
                  </to>
                </anchor>
              </controlPr>
            </control>
          </mc:Choice>
        </mc:AlternateContent>
        <mc:AlternateContent xmlns:mc="http://schemas.openxmlformats.org/markup-compatibility/2006">
          <mc:Choice Requires="x14">
            <control shapeId="1276" r:id="rId30" name="Button 252">
              <controlPr defaultSize="0" print="0" autoFill="0" autoPict="0" macro="[0]!osc_call">
                <anchor moveWithCells="1" sizeWithCells="1">
                  <from>
                    <xdr:col>20</xdr:col>
                    <xdr:colOff>12700</xdr:colOff>
                    <xdr:row>85</xdr:row>
                    <xdr:rowOff>12700</xdr:rowOff>
                  </from>
                  <to>
                    <xdr:col>20</xdr:col>
                    <xdr:colOff>304800</xdr:colOff>
                    <xdr:row>85</xdr:row>
                    <xdr:rowOff>177800</xdr:rowOff>
                  </to>
                </anchor>
              </controlPr>
            </control>
          </mc:Choice>
        </mc:AlternateContent>
        <mc:AlternateContent xmlns:mc="http://schemas.openxmlformats.org/markup-compatibility/2006">
          <mc:Choice Requires="x14">
            <control shapeId="1333" r:id="rId31" name="Button 309">
              <controlPr defaultSize="0" print="0" autoFill="0" autoPict="0" macro="[0]!osc_call">
                <anchor moveWithCells="1" sizeWithCells="1">
                  <from>
                    <xdr:col>20</xdr:col>
                    <xdr:colOff>12700</xdr:colOff>
                    <xdr:row>87</xdr:row>
                    <xdr:rowOff>12700</xdr:rowOff>
                  </from>
                  <to>
                    <xdr:col>20</xdr:col>
                    <xdr:colOff>304800</xdr:colOff>
                    <xdr:row>87</xdr:row>
                    <xdr:rowOff>177800</xdr:rowOff>
                  </to>
                </anchor>
              </controlPr>
            </control>
          </mc:Choice>
        </mc:AlternateContent>
        <mc:AlternateContent xmlns:mc="http://schemas.openxmlformats.org/markup-compatibility/2006">
          <mc:Choice Requires="x14">
            <control shapeId="1334" r:id="rId32" name="Button 310">
              <controlPr defaultSize="0" print="0" autoFill="0" autoPict="0" macro="[0]!osc_call">
                <anchor moveWithCells="1" sizeWithCells="1">
                  <from>
                    <xdr:col>20</xdr:col>
                    <xdr:colOff>12700</xdr:colOff>
                    <xdr:row>89</xdr:row>
                    <xdr:rowOff>12700</xdr:rowOff>
                  </from>
                  <to>
                    <xdr:col>20</xdr:col>
                    <xdr:colOff>304800</xdr:colOff>
                    <xdr:row>89</xdr:row>
                    <xdr:rowOff>177800</xdr:rowOff>
                  </to>
                </anchor>
              </controlPr>
            </control>
          </mc:Choice>
        </mc:AlternateContent>
        <mc:AlternateContent xmlns:mc="http://schemas.openxmlformats.org/markup-compatibility/2006">
          <mc:Choice Requires="x14">
            <control shapeId="1137" r:id="rId33" name="Button 113">
              <controlPr defaultSize="0" print="0" autoFill="0" autoPict="0" macro="[0]!osc_call">
                <anchor moveWithCells="1" sizeWithCells="1">
                  <from>
                    <xdr:col>20</xdr:col>
                    <xdr:colOff>12700</xdr:colOff>
                    <xdr:row>90</xdr:row>
                    <xdr:rowOff>12700</xdr:rowOff>
                  </from>
                  <to>
                    <xdr:col>20</xdr:col>
                    <xdr:colOff>304800</xdr:colOff>
                    <xdr:row>90</xdr:row>
                    <xdr:rowOff>177800</xdr:rowOff>
                  </to>
                </anchor>
              </controlPr>
            </control>
          </mc:Choice>
        </mc:AlternateContent>
        <mc:AlternateContent xmlns:mc="http://schemas.openxmlformats.org/markup-compatibility/2006">
          <mc:Choice Requires="x14">
            <control shapeId="1138" r:id="rId34" name="Button 114">
              <controlPr defaultSize="0" print="0" autoFill="0" autoPict="0" macro="[0]!osc_call">
                <anchor moveWithCells="1" sizeWithCells="1">
                  <from>
                    <xdr:col>20</xdr:col>
                    <xdr:colOff>12700</xdr:colOff>
                    <xdr:row>93</xdr:row>
                    <xdr:rowOff>12700</xdr:rowOff>
                  </from>
                  <to>
                    <xdr:col>20</xdr:col>
                    <xdr:colOff>304800</xdr:colOff>
                    <xdr:row>93</xdr:row>
                    <xdr:rowOff>177800</xdr:rowOff>
                  </to>
                </anchor>
              </controlPr>
            </control>
          </mc:Choice>
        </mc:AlternateContent>
        <mc:AlternateContent xmlns:mc="http://schemas.openxmlformats.org/markup-compatibility/2006">
          <mc:Choice Requires="x14">
            <control shapeId="1135" r:id="rId35" name="Button 111">
              <controlPr defaultSize="0" print="0" autoFill="0" autoPict="0" macro="[0]!osc_call">
                <anchor moveWithCells="1" sizeWithCells="1">
                  <from>
                    <xdr:col>20</xdr:col>
                    <xdr:colOff>12700</xdr:colOff>
                    <xdr:row>96</xdr:row>
                    <xdr:rowOff>12700</xdr:rowOff>
                  </from>
                  <to>
                    <xdr:col>20</xdr:col>
                    <xdr:colOff>304800</xdr:colOff>
                    <xdr:row>96</xdr:row>
                    <xdr:rowOff>177800</xdr:rowOff>
                  </to>
                </anchor>
              </controlPr>
            </control>
          </mc:Choice>
        </mc:AlternateContent>
        <mc:AlternateContent xmlns:mc="http://schemas.openxmlformats.org/markup-compatibility/2006">
          <mc:Choice Requires="x14">
            <control shapeId="1335" r:id="rId36" name="Button 311">
              <controlPr defaultSize="0" print="0" autoFill="0" autoPict="0" macro="[0]!osc_call">
                <anchor moveWithCells="1" sizeWithCells="1">
                  <from>
                    <xdr:col>20</xdr:col>
                    <xdr:colOff>12700</xdr:colOff>
                    <xdr:row>98</xdr:row>
                    <xdr:rowOff>12700</xdr:rowOff>
                  </from>
                  <to>
                    <xdr:col>20</xdr:col>
                    <xdr:colOff>304800</xdr:colOff>
                    <xdr:row>98</xdr:row>
                    <xdr:rowOff>177800</xdr:rowOff>
                  </to>
                </anchor>
              </controlPr>
            </control>
          </mc:Choice>
        </mc:AlternateContent>
        <mc:AlternateContent xmlns:mc="http://schemas.openxmlformats.org/markup-compatibility/2006">
          <mc:Choice Requires="x14">
            <control shapeId="1140" r:id="rId37" name="Button 116">
              <controlPr defaultSize="0" print="0" autoFill="0" autoPict="0" macro="[0]!osc_call">
                <anchor moveWithCells="1" sizeWithCells="1">
                  <from>
                    <xdr:col>20</xdr:col>
                    <xdr:colOff>12700</xdr:colOff>
                    <xdr:row>99</xdr:row>
                    <xdr:rowOff>12700</xdr:rowOff>
                  </from>
                  <to>
                    <xdr:col>20</xdr:col>
                    <xdr:colOff>304800</xdr:colOff>
                    <xdr:row>99</xdr:row>
                    <xdr:rowOff>177800</xdr:rowOff>
                  </to>
                </anchor>
              </controlPr>
            </control>
          </mc:Choice>
        </mc:AlternateContent>
        <mc:AlternateContent xmlns:mc="http://schemas.openxmlformats.org/markup-compatibility/2006">
          <mc:Choice Requires="x14">
            <control shapeId="1142" r:id="rId38" name="Button 118">
              <controlPr defaultSize="0" print="0" autoFill="0" autoPict="0" macro="[0]!osc_call">
                <anchor moveWithCells="1" sizeWithCells="1">
                  <from>
                    <xdr:col>20</xdr:col>
                    <xdr:colOff>12700</xdr:colOff>
                    <xdr:row>106</xdr:row>
                    <xdr:rowOff>12700</xdr:rowOff>
                  </from>
                  <to>
                    <xdr:col>20</xdr:col>
                    <xdr:colOff>304800</xdr:colOff>
                    <xdr:row>106</xdr:row>
                    <xdr:rowOff>177800</xdr:rowOff>
                  </to>
                </anchor>
              </controlPr>
            </control>
          </mc:Choice>
        </mc:AlternateContent>
        <mc:AlternateContent xmlns:mc="http://schemas.openxmlformats.org/markup-compatibility/2006">
          <mc:Choice Requires="x14">
            <control shapeId="1336" r:id="rId39" name="Button 312">
              <controlPr defaultSize="0" print="0" autoFill="0" autoPict="0" macro="[0]!osc_call">
                <anchor moveWithCells="1" sizeWithCells="1">
                  <from>
                    <xdr:col>20</xdr:col>
                    <xdr:colOff>12700</xdr:colOff>
                    <xdr:row>108</xdr:row>
                    <xdr:rowOff>12700</xdr:rowOff>
                  </from>
                  <to>
                    <xdr:col>20</xdr:col>
                    <xdr:colOff>304800</xdr:colOff>
                    <xdr:row>108</xdr:row>
                    <xdr:rowOff>177800</xdr:rowOff>
                  </to>
                </anchor>
              </controlPr>
            </control>
          </mc:Choice>
        </mc:AlternateContent>
        <mc:AlternateContent xmlns:mc="http://schemas.openxmlformats.org/markup-compatibility/2006">
          <mc:Choice Requires="x14">
            <control shapeId="1339" r:id="rId40" name="Check Box 315">
              <controlPr defaultSize="0" autoFill="0" autoLine="0" autoPict="0">
                <anchor moveWithCells="1">
                  <from>
                    <xdr:col>0</xdr:col>
                    <xdr:colOff>50800</xdr:colOff>
                    <xdr:row>0</xdr:row>
                    <xdr:rowOff>88900</xdr:rowOff>
                  </from>
                  <to>
                    <xdr:col>10</xdr:col>
                    <xdr:colOff>50800</xdr:colOff>
                    <xdr:row>0</xdr:row>
                    <xdr:rowOff>342900</xdr:rowOff>
                  </to>
                </anchor>
              </controlPr>
            </control>
          </mc:Choice>
        </mc:AlternateContent>
        <mc:AlternateContent xmlns:mc="http://schemas.openxmlformats.org/markup-compatibility/2006">
          <mc:Choice Requires="x14">
            <control shapeId="1025" r:id="rId41" name="Button 1">
              <controlPr defaultSize="0" print="0" autoFill="0" autoPict="0" macro="[0]!osc_call">
                <anchor moveWithCells="1" sizeWithCells="1">
                  <from>
                    <xdr:col>20</xdr:col>
                    <xdr:colOff>12700</xdr:colOff>
                    <xdr:row>5</xdr:row>
                    <xdr:rowOff>12700</xdr:rowOff>
                  </from>
                  <to>
                    <xdr:col>20</xdr:col>
                    <xdr:colOff>304800</xdr:colOff>
                    <xdr:row>5</xdr:row>
                    <xdr:rowOff>177800</xdr:rowOff>
                  </to>
                </anchor>
              </controlPr>
            </control>
          </mc:Choice>
        </mc:AlternateContent>
        <mc:AlternateContent xmlns:mc="http://schemas.openxmlformats.org/markup-compatibility/2006">
          <mc:Choice Requires="x14">
            <control shapeId="1403" r:id="rId42" name="Button 379">
              <controlPr defaultSize="0" print="0" autoFill="0" autoPict="0" macro="[0]!osc_call">
                <anchor moveWithCells="1" sizeWithCells="1">
                  <from>
                    <xdr:col>20</xdr:col>
                    <xdr:colOff>12700</xdr:colOff>
                    <xdr:row>102</xdr:row>
                    <xdr:rowOff>12700</xdr:rowOff>
                  </from>
                  <to>
                    <xdr:col>21</xdr:col>
                    <xdr:colOff>0</xdr:colOff>
                    <xdr:row>102</xdr:row>
                    <xdr:rowOff>177800</xdr:rowOff>
                  </to>
                </anchor>
              </controlPr>
            </control>
          </mc:Choice>
        </mc:AlternateContent>
        <mc:AlternateContent xmlns:mc="http://schemas.openxmlformats.org/markup-compatibility/2006">
          <mc:Choice Requires="x14">
            <control shapeId="1404" r:id="rId43" name="Button 380">
              <controlPr defaultSize="0" print="0" autoFill="0" autoPict="0" macro="[0]!osc_call">
                <anchor moveWithCells="1" sizeWithCells="1">
                  <from>
                    <xdr:col>20</xdr:col>
                    <xdr:colOff>12700</xdr:colOff>
                    <xdr:row>103</xdr:row>
                    <xdr:rowOff>12700</xdr:rowOff>
                  </from>
                  <to>
                    <xdr:col>21</xdr:col>
                    <xdr:colOff>0</xdr:colOff>
                    <xdr:row>103</xdr:row>
                    <xdr:rowOff>177800</xdr:rowOff>
                  </to>
                </anchor>
              </controlPr>
            </control>
          </mc:Choice>
        </mc:AlternateContent>
        <mc:AlternateContent xmlns:mc="http://schemas.openxmlformats.org/markup-compatibility/2006">
          <mc:Choice Requires="x14">
            <control shapeId="1406" r:id="rId44" name="Button 382">
              <controlPr defaultSize="0" print="0" autoFill="0" autoPict="0" macro="[0]!osc_call">
                <anchor moveWithCells="1" sizeWithCells="1">
                  <from>
                    <xdr:col>20</xdr:col>
                    <xdr:colOff>12700</xdr:colOff>
                    <xdr:row>107</xdr:row>
                    <xdr:rowOff>12700</xdr:rowOff>
                  </from>
                  <to>
                    <xdr:col>21</xdr:col>
                    <xdr:colOff>0</xdr:colOff>
                    <xdr:row>107</xdr:row>
                    <xdr:rowOff>177800</xdr:rowOff>
                  </to>
                </anchor>
              </controlPr>
            </control>
          </mc:Choice>
        </mc:AlternateContent>
        <mc:AlternateContent xmlns:mc="http://schemas.openxmlformats.org/markup-compatibility/2006">
          <mc:Choice Requires="x14">
            <control shapeId="1407" r:id="rId45" name="Button 383">
              <controlPr defaultSize="0" print="0" autoFill="0" autoPict="0" macro="[0]!osc_call">
                <anchor moveWithCells="1" sizeWithCells="1">
                  <from>
                    <xdr:col>20</xdr:col>
                    <xdr:colOff>12700</xdr:colOff>
                    <xdr:row>94</xdr:row>
                    <xdr:rowOff>12700</xdr:rowOff>
                  </from>
                  <to>
                    <xdr:col>21</xdr:col>
                    <xdr:colOff>0</xdr:colOff>
                    <xdr:row>94</xdr:row>
                    <xdr:rowOff>177800</xdr:rowOff>
                  </to>
                </anchor>
              </controlPr>
            </control>
          </mc:Choice>
        </mc:AlternateContent>
        <mc:AlternateContent xmlns:mc="http://schemas.openxmlformats.org/markup-compatibility/2006">
          <mc:Choice Requires="x14">
            <control shapeId="1408" r:id="rId46" name="Button 384">
              <controlPr defaultSize="0" print="0" autoFill="0" autoPict="0" macro="[0]!osc_call">
                <anchor moveWithCells="1" sizeWithCells="1">
                  <from>
                    <xdr:col>20</xdr:col>
                    <xdr:colOff>12700</xdr:colOff>
                    <xdr:row>83</xdr:row>
                    <xdr:rowOff>12700</xdr:rowOff>
                  </from>
                  <to>
                    <xdr:col>21</xdr:col>
                    <xdr:colOff>0</xdr:colOff>
                    <xdr:row>83</xdr:row>
                    <xdr:rowOff>177800</xdr:rowOff>
                  </to>
                </anchor>
              </controlPr>
            </control>
          </mc:Choice>
        </mc:AlternateContent>
        <mc:AlternateContent xmlns:mc="http://schemas.openxmlformats.org/markup-compatibility/2006">
          <mc:Choice Requires="x14">
            <control shapeId="1405" r:id="rId47" name="Button 381">
              <controlPr defaultSize="0" print="0" autoFill="0" autoPict="0" macro="[0]!osc_call">
                <anchor moveWithCells="1" sizeWithCells="1">
                  <from>
                    <xdr:col>20</xdr:col>
                    <xdr:colOff>12700</xdr:colOff>
                    <xdr:row>105</xdr:row>
                    <xdr:rowOff>12700</xdr:rowOff>
                  </from>
                  <to>
                    <xdr:col>21</xdr:col>
                    <xdr:colOff>0</xdr:colOff>
                    <xdr:row>105</xdr:row>
                    <xdr:rowOff>177800</xdr:rowOff>
                  </to>
                </anchor>
              </controlPr>
            </control>
          </mc:Choice>
        </mc:AlternateContent>
        <mc:AlternateContent xmlns:mc="http://schemas.openxmlformats.org/markup-compatibility/2006">
          <mc:Choice Requires="x14">
            <control shapeId="1410" r:id="rId48" name="Button 386">
              <controlPr defaultSize="0" print="0" autoFill="0" autoPict="0" macro="[0]!osc_call">
                <anchor moveWithCells="1" sizeWithCells="1">
                  <from>
                    <xdr:col>20</xdr:col>
                    <xdr:colOff>12700</xdr:colOff>
                    <xdr:row>111</xdr:row>
                    <xdr:rowOff>12700</xdr:rowOff>
                  </from>
                  <to>
                    <xdr:col>21</xdr:col>
                    <xdr:colOff>0</xdr:colOff>
                    <xdr:row>111</xdr:row>
                    <xdr:rowOff>177800</xdr:rowOff>
                  </to>
                </anchor>
              </controlPr>
            </control>
          </mc:Choice>
        </mc:AlternateContent>
        <mc:AlternateContent xmlns:mc="http://schemas.openxmlformats.org/markup-compatibility/2006">
          <mc:Choice Requires="x14">
            <control shapeId="1411" r:id="rId49" name="Button 387">
              <controlPr defaultSize="0" print="0" autoFill="0" autoPict="0" macro="[0]!osc_call">
                <anchor moveWithCells="1" sizeWithCells="1">
                  <from>
                    <xdr:col>20</xdr:col>
                    <xdr:colOff>12700</xdr:colOff>
                    <xdr:row>113</xdr:row>
                    <xdr:rowOff>12700</xdr:rowOff>
                  </from>
                  <to>
                    <xdr:col>21</xdr:col>
                    <xdr:colOff>0</xdr:colOff>
                    <xdr:row>113</xdr:row>
                    <xdr:rowOff>177800</xdr:rowOff>
                  </to>
                </anchor>
              </controlPr>
            </control>
          </mc:Choice>
        </mc:AlternateContent>
        <mc:AlternateContent xmlns:mc="http://schemas.openxmlformats.org/markup-compatibility/2006">
          <mc:Choice Requires="x14">
            <control shapeId="1412" r:id="rId50" name="Button 388">
              <controlPr defaultSize="0" print="0" autoFill="0" autoPict="0" macro="[0]!osc_call">
                <anchor moveWithCells="1" sizeWithCells="1">
                  <from>
                    <xdr:col>20</xdr:col>
                    <xdr:colOff>12700</xdr:colOff>
                    <xdr:row>115</xdr:row>
                    <xdr:rowOff>12700</xdr:rowOff>
                  </from>
                  <to>
                    <xdr:col>21</xdr:col>
                    <xdr:colOff>0</xdr:colOff>
                    <xdr:row>115</xdr:row>
                    <xdr:rowOff>177800</xdr:rowOff>
                  </to>
                </anchor>
              </controlPr>
            </control>
          </mc:Choice>
        </mc:AlternateContent>
        <mc:AlternateContent xmlns:mc="http://schemas.openxmlformats.org/markup-compatibility/2006">
          <mc:Choice Requires="x14">
            <control shapeId="1268" r:id="rId51" name="Button 244">
              <controlPr defaultSize="0" print="0" autoFill="0" autoPict="0" macro="[0]!osc_call">
                <anchor moveWithCells="1" sizeWithCells="1">
                  <from>
                    <xdr:col>20</xdr:col>
                    <xdr:colOff>12700</xdr:colOff>
                    <xdr:row>72</xdr:row>
                    <xdr:rowOff>12700</xdr:rowOff>
                  </from>
                  <to>
                    <xdr:col>20</xdr:col>
                    <xdr:colOff>304800</xdr:colOff>
                    <xdr:row>72</xdr:row>
                    <xdr:rowOff>177800</xdr:rowOff>
                  </to>
                </anchor>
              </controlPr>
            </control>
          </mc:Choice>
        </mc:AlternateContent>
        <mc:AlternateContent xmlns:mc="http://schemas.openxmlformats.org/markup-compatibility/2006">
          <mc:Choice Requires="x14">
            <control shapeId="1272" r:id="rId52" name="Button 248">
              <controlPr defaultSize="0" print="0" autoFill="0" autoPict="0" macro="[0]!osc_call">
                <anchor moveWithCells="1" sizeWithCells="1">
                  <from>
                    <xdr:col>20</xdr:col>
                    <xdr:colOff>12700</xdr:colOff>
                    <xdr:row>64</xdr:row>
                    <xdr:rowOff>12700</xdr:rowOff>
                  </from>
                  <to>
                    <xdr:col>20</xdr:col>
                    <xdr:colOff>304800</xdr:colOff>
                    <xdr:row>64</xdr:row>
                    <xdr:rowOff>177800</xdr:rowOff>
                  </to>
                </anchor>
              </controlPr>
            </control>
          </mc:Choice>
        </mc:AlternateContent>
        <mc:AlternateContent xmlns:mc="http://schemas.openxmlformats.org/markup-compatibility/2006">
          <mc:Choice Requires="x14">
            <control shapeId="1501" r:id="rId53" name="Check Box 477">
              <controlPr defaultSize="0" autoFill="0" autoLine="0" autoPict="0">
                <anchor moveWithCells="1">
                  <from>
                    <xdr:col>3</xdr:col>
                    <xdr:colOff>50800</xdr:colOff>
                    <xdr:row>0</xdr:row>
                    <xdr:rowOff>88900</xdr:rowOff>
                  </from>
                  <to>
                    <xdr:col>10</xdr:col>
                    <xdr:colOff>660400</xdr:colOff>
                    <xdr:row>0</xdr:row>
                    <xdr:rowOff>342900</xdr:rowOff>
                  </to>
                </anchor>
              </controlPr>
            </control>
          </mc:Choice>
        </mc:AlternateContent>
        <mc:AlternateContent xmlns:mc="http://schemas.openxmlformats.org/markup-compatibility/2006">
          <mc:Choice Requires="x14">
            <control shapeId="1563" r:id="rId54" name="Check Box 539">
              <controlPr defaultSize="0" autoFill="0" autoLine="0" autoPict="0">
                <anchor moveWithCells="1">
                  <from>
                    <xdr:col>4</xdr:col>
                    <xdr:colOff>1130300</xdr:colOff>
                    <xdr:row>0</xdr:row>
                    <xdr:rowOff>88900</xdr:rowOff>
                  </from>
                  <to>
                    <xdr:col>10</xdr:col>
                    <xdr:colOff>673100</xdr:colOff>
                    <xdr:row>0</xdr:row>
                    <xdr:rowOff>342900</xdr:rowOff>
                  </to>
                </anchor>
              </controlPr>
            </control>
          </mc:Choice>
        </mc:AlternateContent>
        <mc:AlternateContent xmlns:mc="http://schemas.openxmlformats.org/markup-compatibility/2006">
          <mc:Choice Requires="x14">
            <control shapeId="1708" r:id="rId55" name="Button 684">
              <controlPr defaultSize="0" print="0" autoFill="0" autoPict="0" macro="[0]!osc_call">
                <anchor moveWithCells="1" sizeWithCells="1">
                  <from>
                    <xdr:col>20</xdr:col>
                    <xdr:colOff>12700</xdr:colOff>
                    <xdr:row>161</xdr:row>
                    <xdr:rowOff>12700</xdr:rowOff>
                  </from>
                  <to>
                    <xdr:col>20</xdr:col>
                    <xdr:colOff>304800</xdr:colOff>
                    <xdr:row>161</xdr:row>
                    <xdr:rowOff>177800</xdr:rowOff>
                  </to>
                </anchor>
              </controlPr>
            </control>
          </mc:Choice>
        </mc:AlternateContent>
        <mc:AlternateContent xmlns:mc="http://schemas.openxmlformats.org/markup-compatibility/2006">
          <mc:Choice Requires="x14">
            <control shapeId="1709" r:id="rId56" name="Button 685">
              <controlPr defaultSize="0" print="0" autoFill="0" autoPict="0" macro="[0]!osc_call">
                <anchor moveWithCells="1" sizeWithCells="1">
                  <from>
                    <xdr:col>20</xdr:col>
                    <xdr:colOff>12700</xdr:colOff>
                    <xdr:row>162</xdr:row>
                    <xdr:rowOff>12700</xdr:rowOff>
                  </from>
                  <to>
                    <xdr:col>20</xdr:col>
                    <xdr:colOff>304800</xdr:colOff>
                    <xdr:row>162</xdr:row>
                    <xdr:rowOff>177800</xdr:rowOff>
                  </to>
                </anchor>
              </controlPr>
            </control>
          </mc:Choice>
        </mc:AlternateContent>
        <mc:AlternateContent xmlns:mc="http://schemas.openxmlformats.org/markup-compatibility/2006">
          <mc:Choice Requires="x14">
            <control shapeId="1710" r:id="rId57" name="Button 686">
              <controlPr defaultSize="0" print="0" autoFill="0" autoPict="0" macro="[0]!osc_call">
                <anchor moveWithCells="1" sizeWithCells="1">
                  <from>
                    <xdr:col>20</xdr:col>
                    <xdr:colOff>12700</xdr:colOff>
                    <xdr:row>163</xdr:row>
                    <xdr:rowOff>12700</xdr:rowOff>
                  </from>
                  <to>
                    <xdr:col>21</xdr:col>
                    <xdr:colOff>0</xdr:colOff>
                    <xdr:row>163</xdr:row>
                    <xdr:rowOff>177800</xdr:rowOff>
                  </to>
                </anchor>
              </controlPr>
            </control>
          </mc:Choice>
        </mc:AlternateContent>
        <mc:AlternateContent xmlns:mc="http://schemas.openxmlformats.org/markup-compatibility/2006">
          <mc:Choice Requires="x14">
            <control shapeId="1711" r:id="rId58" name="Button 687">
              <controlPr defaultSize="0" print="0" autoFill="0" autoPict="0" macro="[0]!osc_call">
                <anchor moveWithCells="1" sizeWithCells="1">
                  <from>
                    <xdr:col>20</xdr:col>
                    <xdr:colOff>12700</xdr:colOff>
                    <xdr:row>164</xdr:row>
                    <xdr:rowOff>12700</xdr:rowOff>
                  </from>
                  <to>
                    <xdr:col>21</xdr:col>
                    <xdr:colOff>0</xdr:colOff>
                    <xdr:row>164</xdr:row>
                    <xdr:rowOff>177800</xdr:rowOff>
                  </to>
                </anchor>
              </controlPr>
            </control>
          </mc:Choice>
        </mc:AlternateContent>
        <mc:AlternateContent xmlns:mc="http://schemas.openxmlformats.org/markup-compatibility/2006">
          <mc:Choice Requires="x14">
            <control shapeId="1712" r:id="rId59" name="Button 688">
              <controlPr defaultSize="0" print="0" autoFill="0" autoPict="0" macro="[0]!osc_call">
                <anchor moveWithCells="1" sizeWithCells="1">
                  <from>
                    <xdr:col>20</xdr:col>
                    <xdr:colOff>12700</xdr:colOff>
                    <xdr:row>165</xdr:row>
                    <xdr:rowOff>12700</xdr:rowOff>
                  </from>
                  <to>
                    <xdr:col>21</xdr:col>
                    <xdr:colOff>0</xdr:colOff>
                    <xdr:row>165</xdr:row>
                    <xdr:rowOff>177800</xdr:rowOff>
                  </to>
                </anchor>
              </controlPr>
            </control>
          </mc:Choice>
        </mc:AlternateContent>
        <mc:AlternateContent xmlns:mc="http://schemas.openxmlformats.org/markup-compatibility/2006">
          <mc:Choice Requires="x14">
            <control shapeId="1713" r:id="rId60" name="Button 689">
              <controlPr defaultSize="0" print="0" autoFill="0" autoPict="0" macro="[0]!osc_call">
                <anchor moveWithCells="1" sizeWithCells="1">
                  <from>
                    <xdr:col>20</xdr:col>
                    <xdr:colOff>12700</xdr:colOff>
                    <xdr:row>166</xdr:row>
                    <xdr:rowOff>12700</xdr:rowOff>
                  </from>
                  <to>
                    <xdr:col>21</xdr:col>
                    <xdr:colOff>0</xdr:colOff>
                    <xdr:row>166</xdr:row>
                    <xdr:rowOff>177800</xdr:rowOff>
                  </to>
                </anchor>
              </controlPr>
            </control>
          </mc:Choice>
        </mc:AlternateContent>
        <mc:AlternateContent xmlns:mc="http://schemas.openxmlformats.org/markup-compatibility/2006">
          <mc:Choice Requires="x14">
            <control shapeId="1714" r:id="rId61" name="Button 690">
              <controlPr defaultSize="0" print="0" autoFill="0" autoPict="0" macro="[0]!osc_call">
                <anchor moveWithCells="1" sizeWithCells="1">
                  <from>
                    <xdr:col>20</xdr:col>
                    <xdr:colOff>12700</xdr:colOff>
                    <xdr:row>167</xdr:row>
                    <xdr:rowOff>12700</xdr:rowOff>
                  </from>
                  <to>
                    <xdr:col>21</xdr:col>
                    <xdr:colOff>0</xdr:colOff>
                    <xdr:row>167</xdr:row>
                    <xdr:rowOff>177800</xdr:rowOff>
                  </to>
                </anchor>
              </controlPr>
            </control>
          </mc:Choice>
        </mc:AlternateContent>
        <mc:AlternateContent xmlns:mc="http://schemas.openxmlformats.org/markup-compatibility/2006">
          <mc:Choice Requires="x14">
            <control shapeId="1715" r:id="rId62" name="Button 691">
              <controlPr defaultSize="0" print="0" autoFill="0" autoPict="0" macro="[0]!osc_call">
                <anchor moveWithCells="1" sizeWithCells="1">
                  <from>
                    <xdr:col>20</xdr:col>
                    <xdr:colOff>12700</xdr:colOff>
                    <xdr:row>168</xdr:row>
                    <xdr:rowOff>12700</xdr:rowOff>
                  </from>
                  <to>
                    <xdr:col>21</xdr:col>
                    <xdr:colOff>0</xdr:colOff>
                    <xdr:row>168</xdr:row>
                    <xdr:rowOff>177800</xdr:rowOff>
                  </to>
                </anchor>
              </controlPr>
            </control>
          </mc:Choice>
        </mc:AlternateContent>
        <mc:AlternateContent xmlns:mc="http://schemas.openxmlformats.org/markup-compatibility/2006">
          <mc:Choice Requires="x14">
            <control shapeId="1716" r:id="rId63" name="Button 692">
              <controlPr defaultSize="0" print="0" autoFill="0" autoPict="0" macro="[0]!osc_call">
                <anchor moveWithCells="1" sizeWithCells="1">
                  <from>
                    <xdr:col>20</xdr:col>
                    <xdr:colOff>12700</xdr:colOff>
                    <xdr:row>169</xdr:row>
                    <xdr:rowOff>12700</xdr:rowOff>
                  </from>
                  <to>
                    <xdr:col>21</xdr:col>
                    <xdr:colOff>0</xdr:colOff>
                    <xdr:row>169</xdr:row>
                    <xdr:rowOff>177800</xdr:rowOff>
                  </to>
                </anchor>
              </controlPr>
            </control>
          </mc:Choice>
        </mc:AlternateContent>
        <mc:AlternateContent xmlns:mc="http://schemas.openxmlformats.org/markup-compatibility/2006">
          <mc:Choice Requires="x14">
            <control shapeId="1717" r:id="rId64" name="Button 693">
              <controlPr defaultSize="0" print="0" autoFill="0" autoPict="0" macro="[0]!osc_call">
                <anchor moveWithCells="1" sizeWithCells="1">
                  <from>
                    <xdr:col>20</xdr:col>
                    <xdr:colOff>12700</xdr:colOff>
                    <xdr:row>170</xdr:row>
                    <xdr:rowOff>12700</xdr:rowOff>
                  </from>
                  <to>
                    <xdr:col>21</xdr:col>
                    <xdr:colOff>0</xdr:colOff>
                    <xdr:row>170</xdr:row>
                    <xdr:rowOff>177800</xdr:rowOff>
                  </to>
                </anchor>
              </controlPr>
            </control>
          </mc:Choice>
        </mc:AlternateContent>
        <mc:AlternateContent xmlns:mc="http://schemas.openxmlformats.org/markup-compatibility/2006">
          <mc:Choice Requires="x14">
            <control shapeId="1718" r:id="rId65" name="Button 694">
              <controlPr defaultSize="0" print="0" autoFill="0" autoPict="0" macro="[0]!osc_call">
                <anchor moveWithCells="1" sizeWithCells="1">
                  <from>
                    <xdr:col>20</xdr:col>
                    <xdr:colOff>12700</xdr:colOff>
                    <xdr:row>171</xdr:row>
                    <xdr:rowOff>12700</xdr:rowOff>
                  </from>
                  <to>
                    <xdr:col>21</xdr:col>
                    <xdr:colOff>0</xdr:colOff>
                    <xdr:row>171</xdr:row>
                    <xdr:rowOff>177800</xdr:rowOff>
                  </to>
                </anchor>
              </controlPr>
            </control>
          </mc:Choice>
        </mc:AlternateContent>
        <mc:AlternateContent xmlns:mc="http://schemas.openxmlformats.org/markup-compatibility/2006">
          <mc:Choice Requires="x14">
            <control shapeId="1719" r:id="rId66" name="Button 695">
              <controlPr defaultSize="0" print="0" autoFill="0" autoPict="0" macro="[0]!osc_call">
                <anchor moveWithCells="1" sizeWithCells="1">
                  <from>
                    <xdr:col>20</xdr:col>
                    <xdr:colOff>12700</xdr:colOff>
                    <xdr:row>172</xdr:row>
                    <xdr:rowOff>12700</xdr:rowOff>
                  </from>
                  <to>
                    <xdr:col>21</xdr:col>
                    <xdr:colOff>0</xdr:colOff>
                    <xdr:row>172</xdr:row>
                    <xdr:rowOff>177800</xdr:rowOff>
                  </to>
                </anchor>
              </controlPr>
            </control>
          </mc:Choice>
        </mc:AlternateContent>
        <mc:AlternateContent xmlns:mc="http://schemas.openxmlformats.org/markup-compatibility/2006">
          <mc:Choice Requires="x14">
            <control shapeId="1720" r:id="rId67" name="Button 696">
              <controlPr defaultSize="0" print="0" autoFill="0" autoPict="0" macro="[0]!osc_call">
                <anchor moveWithCells="1" sizeWithCells="1">
                  <from>
                    <xdr:col>20</xdr:col>
                    <xdr:colOff>12700</xdr:colOff>
                    <xdr:row>173</xdr:row>
                    <xdr:rowOff>12700</xdr:rowOff>
                  </from>
                  <to>
                    <xdr:col>21</xdr:col>
                    <xdr:colOff>0</xdr:colOff>
                    <xdr:row>173</xdr:row>
                    <xdr:rowOff>177800</xdr:rowOff>
                  </to>
                </anchor>
              </controlPr>
            </control>
          </mc:Choice>
        </mc:AlternateContent>
        <mc:AlternateContent xmlns:mc="http://schemas.openxmlformats.org/markup-compatibility/2006">
          <mc:Choice Requires="x14">
            <control shapeId="1721" r:id="rId68" name="Button 697">
              <controlPr defaultSize="0" print="0" autoFill="0" autoPict="0" macro="[0]!osc_call">
                <anchor moveWithCells="1" sizeWithCells="1">
                  <from>
                    <xdr:col>20</xdr:col>
                    <xdr:colOff>12700</xdr:colOff>
                    <xdr:row>174</xdr:row>
                    <xdr:rowOff>12700</xdr:rowOff>
                  </from>
                  <to>
                    <xdr:col>21</xdr:col>
                    <xdr:colOff>0</xdr:colOff>
                    <xdr:row>174</xdr:row>
                    <xdr:rowOff>177800</xdr:rowOff>
                  </to>
                </anchor>
              </controlPr>
            </control>
          </mc:Choice>
        </mc:AlternateContent>
        <mc:AlternateContent xmlns:mc="http://schemas.openxmlformats.org/markup-compatibility/2006">
          <mc:Choice Requires="x14">
            <control shapeId="1722" r:id="rId69" name="Button 698">
              <controlPr defaultSize="0" print="0" autoFill="0" autoPict="0" macro="[0]!osc_call">
                <anchor moveWithCells="1" sizeWithCells="1">
                  <from>
                    <xdr:col>20</xdr:col>
                    <xdr:colOff>12700</xdr:colOff>
                    <xdr:row>175</xdr:row>
                    <xdr:rowOff>12700</xdr:rowOff>
                  </from>
                  <to>
                    <xdr:col>21</xdr:col>
                    <xdr:colOff>0</xdr:colOff>
                    <xdr:row>175</xdr:row>
                    <xdr:rowOff>177800</xdr:rowOff>
                  </to>
                </anchor>
              </controlPr>
            </control>
          </mc:Choice>
        </mc:AlternateContent>
        <mc:AlternateContent xmlns:mc="http://schemas.openxmlformats.org/markup-compatibility/2006">
          <mc:Choice Requires="x14">
            <control shapeId="1801" r:id="rId70" name="Button 777">
              <controlPr defaultSize="0" print="0" autoFill="0" autoPict="0" macro="[0]!osc_call">
                <anchor moveWithCells="1" sizeWithCells="1">
                  <from>
                    <xdr:col>20</xdr:col>
                    <xdr:colOff>12700</xdr:colOff>
                    <xdr:row>68</xdr:row>
                    <xdr:rowOff>12700</xdr:rowOff>
                  </from>
                  <to>
                    <xdr:col>20</xdr:col>
                    <xdr:colOff>304800</xdr:colOff>
                    <xdr:row>68</xdr:row>
                    <xdr:rowOff>177800</xdr:rowOff>
                  </to>
                </anchor>
              </controlPr>
            </control>
          </mc:Choice>
        </mc:AlternateContent>
        <mc:AlternateContent xmlns:mc="http://schemas.openxmlformats.org/markup-compatibility/2006">
          <mc:Choice Requires="x14">
            <control shapeId="1802" r:id="rId71" name="Button 778">
              <controlPr defaultSize="0" print="0" autoFill="0" autoPict="0" macro="[0]!osc_call">
                <anchor moveWithCells="1" sizeWithCells="1">
                  <from>
                    <xdr:col>20</xdr:col>
                    <xdr:colOff>12700</xdr:colOff>
                    <xdr:row>70</xdr:row>
                    <xdr:rowOff>12700</xdr:rowOff>
                  </from>
                  <to>
                    <xdr:col>20</xdr:col>
                    <xdr:colOff>304800</xdr:colOff>
                    <xdr:row>70</xdr:row>
                    <xdr:rowOff>177800</xdr:rowOff>
                  </to>
                </anchor>
              </controlPr>
            </control>
          </mc:Choice>
        </mc:AlternateContent>
        <mc:AlternateContent xmlns:mc="http://schemas.openxmlformats.org/markup-compatibility/2006">
          <mc:Choice Requires="x14">
            <control shapeId="1803" r:id="rId72" name="Button 779">
              <controlPr defaultSize="0" print="0" autoFill="0" autoPict="0" macro="[0]!osc_call">
                <anchor moveWithCells="1" sizeWithCells="1">
                  <from>
                    <xdr:col>20</xdr:col>
                    <xdr:colOff>12700</xdr:colOff>
                    <xdr:row>43</xdr:row>
                    <xdr:rowOff>12700</xdr:rowOff>
                  </from>
                  <to>
                    <xdr:col>20</xdr:col>
                    <xdr:colOff>304800</xdr:colOff>
                    <xdr:row>43</xdr:row>
                    <xdr:rowOff>177800</xdr:rowOff>
                  </to>
                </anchor>
              </controlPr>
            </control>
          </mc:Choice>
        </mc:AlternateContent>
        <mc:AlternateContent xmlns:mc="http://schemas.openxmlformats.org/markup-compatibility/2006">
          <mc:Choice Requires="x14">
            <control shapeId="1804" r:id="rId73" name="Button 780">
              <controlPr defaultSize="0" print="0" autoFill="0" autoPict="0" macro="[0]!osc_call">
                <anchor moveWithCells="1" sizeWithCells="1">
                  <from>
                    <xdr:col>20</xdr:col>
                    <xdr:colOff>12700</xdr:colOff>
                    <xdr:row>46</xdr:row>
                    <xdr:rowOff>12700</xdr:rowOff>
                  </from>
                  <to>
                    <xdr:col>20</xdr:col>
                    <xdr:colOff>304800</xdr:colOff>
                    <xdr:row>46</xdr:row>
                    <xdr:rowOff>177800</xdr:rowOff>
                  </to>
                </anchor>
              </controlPr>
            </control>
          </mc:Choice>
        </mc:AlternateContent>
        <mc:AlternateContent xmlns:mc="http://schemas.openxmlformats.org/markup-compatibility/2006">
          <mc:Choice Requires="x14">
            <control shapeId="1805" r:id="rId74" name="Button 781">
              <controlPr defaultSize="0" print="0" autoFill="0" autoPict="0" macro="[0]!osc_call">
                <anchor moveWithCells="1" sizeWithCells="1">
                  <from>
                    <xdr:col>20</xdr:col>
                    <xdr:colOff>12700</xdr:colOff>
                    <xdr:row>7</xdr:row>
                    <xdr:rowOff>12700</xdr:rowOff>
                  </from>
                  <to>
                    <xdr:col>20</xdr:col>
                    <xdr:colOff>304800</xdr:colOff>
                    <xdr:row>7</xdr:row>
                    <xdr:rowOff>177800</xdr:rowOff>
                  </to>
                </anchor>
              </controlPr>
            </control>
          </mc:Choice>
        </mc:AlternateContent>
        <mc:AlternateContent xmlns:mc="http://schemas.openxmlformats.org/markup-compatibility/2006">
          <mc:Choice Requires="x14">
            <control shapeId="1810" r:id="rId75" name="Button 786">
              <controlPr defaultSize="0" print="0" autoFill="0" autoPict="0" macro="[0]!osc_call">
                <anchor moveWithCells="1" sizeWithCells="1">
                  <from>
                    <xdr:col>20</xdr:col>
                    <xdr:colOff>12700</xdr:colOff>
                    <xdr:row>124</xdr:row>
                    <xdr:rowOff>12700</xdr:rowOff>
                  </from>
                  <to>
                    <xdr:col>20</xdr:col>
                    <xdr:colOff>304800</xdr:colOff>
                    <xdr:row>124</xdr:row>
                    <xdr:rowOff>177800</xdr:rowOff>
                  </to>
                </anchor>
              </controlPr>
            </control>
          </mc:Choice>
        </mc:AlternateContent>
        <mc:AlternateContent xmlns:mc="http://schemas.openxmlformats.org/markup-compatibility/2006">
          <mc:Choice Requires="x14">
            <control shapeId="1106" r:id="rId76" name="Button 82">
              <controlPr defaultSize="0" print="0" autoFill="0" autoPict="0" macro="[0]!osc_call">
                <anchor moveWithCells="1" sizeWithCells="1">
                  <from>
                    <xdr:col>20</xdr:col>
                    <xdr:colOff>12700</xdr:colOff>
                    <xdr:row>16</xdr:row>
                    <xdr:rowOff>12700</xdr:rowOff>
                  </from>
                  <to>
                    <xdr:col>20</xdr:col>
                    <xdr:colOff>304800</xdr:colOff>
                    <xdr:row>16</xdr:row>
                    <xdr:rowOff>177800</xdr:rowOff>
                  </to>
                </anchor>
              </controlPr>
            </control>
          </mc:Choice>
        </mc:AlternateContent>
        <mc:AlternateContent xmlns:mc="http://schemas.openxmlformats.org/markup-compatibility/2006">
          <mc:Choice Requires="x14">
            <control shapeId="1893" r:id="rId77" name="Button 869">
              <controlPr defaultSize="0" print="0" autoFill="0" autoPict="0" macro="[0]!osc_call">
                <anchor moveWithCells="1" sizeWithCells="1">
                  <from>
                    <xdr:col>20</xdr:col>
                    <xdr:colOff>12700</xdr:colOff>
                    <xdr:row>126</xdr:row>
                    <xdr:rowOff>12700</xdr:rowOff>
                  </from>
                  <to>
                    <xdr:col>20</xdr:col>
                    <xdr:colOff>304800</xdr:colOff>
                    <xdr:row>126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726AE-92C7-E04F-80EE-08BBFE615F6B}">
  <dimension ref="A1:H122"/>
  <sheetViews>
    <sheetView zoomScale="120" zoomScaleNormal="120" workbookViewId="0">
      <pane xSplit="3" ySplit="1" topLeftCell="E80" activePane="bottomRight" state="frozenSplit"/>
      <selection pane="topRight" activeCell="G1" sqref="G1"/>
      <selection pane="bottomLeft" activeCell="A8" sqref="A8"/>
      <selection pane="bottomRight" activeCell="G84" sqref="G84"/>
    </sheetView>
  </sheetViews>
  <sheetFormatPr baseColWidth="10" defaultColWidth="31.33203125" defaultRowHeight="15.75" customHeight="1"/>
  <cols>
    <col min="1" max="1" width="5.83203125" style="139" customWidth="1"/>
    <col min="2" max="2" width="17.1640625" style="139" customWidth="1"/>
    <col min="3" max="3" width="31.33203125" style="139"/>
    <col min="4" max="4" width="37" style="139" customWidth="1"/>
    <col min="5" max="5" width="31.33203125" style="139"/>
    <col min="6" max="6" width="42.5" style="150" customWidth="1"/>
    <col min="7" max="7" width="67.1640625" style="150" customWidth="1"/>
    <col min="8" max="16384" width="31.33203125" style="139"/>
  </cols>
  <sheetData>
    <row r="1" spans="1:8" ht="17">
      <c r="A1" s="138" t="s">
        <v>9</v>
      </c>
      <c r="B1" s="151" t="s">
        <v>344</v>
      </c>
      <c r="C1" s="151" t="s">
        <v>13</v>
      </c>
      <c r="D1" s="152" t="s">
        <v>345</v>
      </c>
      <c r="E1" s="152" t="s">
        <v>346</v>
      </c>
      <c r="F1" s="153" t="s">
        <v>347</v>
      </c>
      <c r="G1" s="153" t="s">
        <v>348</v>
      </c>
      <c r="H1" s="152" t="s">
        <v>349</v>
      </c>
    </row>
    <row r="2" spans="1:8" ht="34">
      <c r="A2" s="139" t="str">
        <f>TEXT(Cues!A4, "000")</f>
        <v>001</v>
      </c>
      <c r="B2" s="139" t="str">
        <f>Cues!C4</f>
        <v>mood</v>
      </c>
      <c r="C2" s="139" t="str">
        <f>Cues!E4</f>
        <v>sound / light / monitors: spa-style</v>
      </c>
      <c r="D2" s="139" t="str">
        <f>Cues!O4</f>
        <v>{ "command": "reset", "entity": "all", "data" : null}</v>
      </c>
      <c r="E2" s="139" t="str">
        <f>Cues!H4</f>
        <v/>
      </c>
      <c r="F2" s="150" t="str">
        <f>Cues!K4</f>
        <v>{"command" : "mood","id":1,"mood_num":"2"}</v>
      </c>
      <c r="G2" s="150" t="str">
        <f>IF(Cues!Q4="","",Cues!Q4)</f>
        <v/>
      </c>
      <c r="H2" s="139" t="str">
        <f>Cues!T4</f>
        <v/>
      </c>
    </row>
    <row r="3" spans="1:8" ht="17">
      <c r="A3" s="139" t="str">
        <f>TEXT(Cues!A5, "000")</f>
        <v>002</v>
      </c>
      <c r="B3" s="139" t="str">
        <f>Cues!C5</f>
        <v>_comment</v>
      </c>
      <c r="C3" s="139" t="str">
        <f>Cues!E5</f>
        <v>wait until user enters room</v>
      </c>
      <c r="D3" s="139" t="str">
        <f>Cues!O5</f>
        <v/>
      </c>
      <c r="E3" s="139" t="str">
        <f>Cues!H5</f>
        <v/>
      </c>
      <c r="F3" s="150" t="str">
        <f>Cues!K5</f>
        <v/>
      </c>
      <c r="G3" s="150" t="str">
        <f>IF(Cues!Q5="","",Cues!Q5)</f>
        <v/>
      </c>
      <c r="H3" s="139" t="str">
        <f>Cues!T5</f>
        <v/>
      </c>
    </row>
    <row r="4" spans="1:8" ht="30">
      <c r="A4" s="139" t="str">
        <f>TEXT(Cues!A6, "000")</f>
        <v>003</v>
      </c>
      <c r="B4" s="139" t="str">
        <f>Cues!C6</f>
        <v>sound</v>
      </c>
      <c r="C4" s="139" t="str">
        <f>Cues!E6</f>
        <v>tell user to have a seat</v>
      </c>
      <c r="D4" s="139" t="str">
        <f>Cues!O6</f>
        <v/>
      </c>
      <c r="E4" s="139" t="str">
        <f>Cues!H6</f>
        <v/>
      </c>
      <c r="F4" s="150" t="str">
        <f>Cues!K6</f>
        <v>{"command" : "sound","id":3,"sound_name":"003_welcome"}</v>
      </c>
      <c r="G4" s="150" t="str">
        <f>IF(Cues!Q6="","",Cues!Q6)</f>
        <v/>
      </c>
      <c r="H4" s="139" t="str">
        <f>Cues!T6</f>
        <v/>
      </c>
    </row>
    <row r="5" spans="1:8" ht="51">
      <c r="A5" s="139" t="str">
        <f>TEXT(Cues!A7, "000")</f>
        <v>004</v>
      </c>
      <c r="B5" s="139" t="str">
        <f>Cues!C7</f>
        <v>observe</v>
      </c>
      <c r="C5" s="139" t="str">
        <f>Cues!E7</f>
        <v>cv: wait until user sits down</v>
      </c>
      <c r="D5" s="139" t="str">
        <f>Cues!O7</f>
        <v/>
      </c>
      <c r="E5" s="139" t="str">
        <f>Cues!H7</f>
        <v/>
      </c>
      <c r="F5" s="150" t="str">
        <f>Cues!K7</f>
        <v/>
      </c>
      <c r="G5" s="150" t="str">
        <f>IF(Cues!Q7="","",Cues!Q7)</f>
        <v/>
      </c>
      <c r="H5" s="139" t="str">
        <f>Cues!T7</f>
        <v>{"av" : {"av-command": "vision-pose-update", "data": {"pose_state": "Sitting"}}}</v>
      </c>
    </row>
    <row r="6" spans="1:8" ht="30">
      <c r="A6" s="139" t="str">
        <f>TEXT(Cues!A8, "000")</f>
        <v>005</v>
      </c>
      <c r="B6" s="139" t="str">
        <f>Cues!C8</f>
        <v>sound</v>
      </c>
      <c r="C6" s="139" t="str">
        <f>Cues!E8</f>
        <v>cue for assistant</v>
      </c>
      <c r="D6" s="139" t="str">
        <f>Cues!O8</f>
        <v/>
      </c>
      <c r="E6" s="139" t="str">
        <f>Cues!H8</f>
        <v/>
      </c>
      <c r="F6" s="150" t="str">
        <f>Cues!K8</f>
        <v>{"command" : "sound","id":5,"sound_name":"005_welcome"}</v>
      </c>
      <c r="G6" s="150" t="str">
        <f>IF(Cues!Q8="","",Cues!Q8)</f>
        <v/>
      </c>
      <c r="H6" s="139" t="str">
        <f>Cues!T8</f>
        <v/>
      </c>
    </row>
    <row r="7" spans="1:8" ht="51">
      <c r="A7" s="139" t="str">
        <f>TEXT(Cues!A9, "000")</f>
        <v>006</v>
      </c>
      <c r="B7" s="139" t="str">
        <f>Cues!C9</f>
        <v>mood</v>
      </c>
      <c r="C7" s="139" t="str">
        <f>Cues!E9</f>
        <v>screens change to monochrome; music fades out; lights for image taking</v>
      </c>
      <c r="D7" s="139" t="str">
        <f>Cues!O9</f>
        <v/>
      </c>
      <c r="E7" s="139" t="str">
        <f>Cues!H9</f>
        <v>{"av-command": "vision-cam-capture", "data": {"capture_image": true}}</v>
      </c>
      <c r="F7" s="150" t="str">
        <f>Cues!K9</f>
        <v>{"command" : "mood","id":6,"mood_num":"3"}</v>
      </c>
      <c r="G7" s="150" t="str">
        <f>IF(Cues!Q9="","",Cues!Q9)</f>
        <v/>
      </c>
      <c r="H7" s="139">
        <f>Cues!T9</f>
        <v>10</v>
      </c>
    </row>
    <row r="8" spans="1:8" ht="17">
      <c r="A8" s="139" t="str">
        <f>TEXT(Cues!A10, "000")</f>
        <v>007</v>
      </c>
      <c r="B8" s="139" t="str">
        <f>Cues!C10</f>
        <v>_comment</v>
      </c>
      <c r="C8" s="139" t="str">
        <f>Cues!E10</f>
        <v>assistant enters and pulls curtain</v>
      </c>
      <c r="D8" s="139" t="str">
        <f>Cues!O10</f>
        <v/>
      </c>
      <c r="E8" s="139" t="str">
        <f>Cues!H10</f>
        <v/>
      </c>
      <c r="F8" s="150" t="str">
        <f>Cues!K10</f>
        <v/>
      </c>
      <c r="G8" s="150" t="str">
        <f>IF(Cues!Q10="","",Cues!Q10)</f>
        <v/>
      </c>
      <c r="H8" s="139" t="str">
        <f>Cues!T10</f>
        <v/>
      </c>
    </row>
    <row r="9" spans="1:8" ht="17">
      <c r="A9" s="139" t="str">
        <f>TEXT(Cues!A11, "000")</f>
        <v>008</v>
      </c>
      <c r="B9" s="139" t="str">
        <f>Cues!C11</f>
        <v>_comment</v>
      </c>
      <c r="C9" s="139" t="str">
        <f>Cues!E11</f>
        <v>beamer on (start projection)</v>
      </c>
      <c r="D9" s="139" t="str">
        <f>Cues!O11</f>
        <v/>
      </c>
      <c r="E9" s="139" t="str">
        <f>Cues!H11</f>
        <v/>
      </c>
      <c r="F9" s="150" t="str">
        <f>Cues!K11</f>
        <v/>
      </c>
      <c r="G9" s="150" t="str">
        <f>IF(Cues!Q11="","",Cues!Q11)</f>
        <v/>
      </c>
      <c r="H9" s="139" t="str">
        <f>Cues!T11</f>
        <v/>
      </c>
    </row>
    <row r="10" spans="1:8" ht="17">
      <c r="A10" s="139" t="str">
        <f>TEXT(Cues!A12, "000")</f>
        <v>009</v>
      </c>
      <c r="B10" s="139" t="str">
        <f>Cues!C12</f>
        <v>_comment</v>
      </c>
      <c r="C10" s="139" t="str">
        <f>Cues!E12</f>
        <v>cv: grab good still foto</v>
      </c>
      <c r="D10" s="139" t="str">
        <f>Cues!O12</f>
        <v/>
      </c>
      <c r="E10" s="139" t="str">
        <f>Cues!H12</f>
        <v/>
      </c>
      <c r="F10" s="150" t="str">
        <f>Cues!K12</f>
        <v/>
      </c>
      <c r="G10" s="150" t="str">
        <f>IF(Cues!Q12="","",Cues!Q12)</f>
        <v/>
      </c>
      <c r="H10" s="139" t="str">
        <f>Cues!T12</f>
        <v/>
      </c>
    </row>
    <row r="11" spans="1:8" ht="17">
      <c r="A11" s="139" t="str">
        <f>TEXT(Cues!A13, "000")</f>
        <v>010</v>
      </c>
      <c r="B11" s="139" t="str">
        <f>Cues!C13</f>
        <v>_comment</v>
      </c>
      <c r="C11" s="139" t="str">
        <f>Cues!E13</f>
        <v>cv: detect &amp; store eye color</v>
      </c>
      <c r="D11" s="139" t="str">
        <f>Cues!O13</f>
        <v/>
      </c>
      <c r="E11" s="139" t="str">
        <f>Cues!H13</f>
        <v/>
      </c>
      <c r="F11" s="150" t="str">
        <f>Cues!K13</f>
        <v/>
      </c>
      <c r="G11" s="150" t="str">
        <f>IF(Cues!Q13="","",Cues!Q13)</f>
        <v/>
      </c>
      <c r="H11" s="139" t="str">
        <f>Cues!T13</f>
        <v/>
      </c>
    </row>
    <row r="12" spans="1:8" ht="17">
      <c r="A12" s="139" t="str">
        <f>TEXT(Cues!A14, "000")</f>
        <v>011</v>
      </c>
      <c r="B12" s="139" t="str">
        <f>Cues!C14</f>
        <v>_comment</v>
      </c>
      <c r="C12" s="139" t="str">
        <f>Cues!E14</f>
        <v>cv: detect &amp; store shirt/sweater info</v>
      </c>
      <c r="D12" s="139" t="str">
        <f>Cues!O14</f>
        <v/>
      </c>
      <c r="E12" s="139" t="str">
        <f>Cues!H14</f>
        <v/>
      </c>
      <c r="F12" s="150" t="str">
        <f>Cues!K14</f>
        <v/>
      </c>
      <c r="G12" s="150" t="str">
        <f>IF(Cues!Q14="","",Cues!Q14)</f>
        <v/>
      </c>
      <c r="H12" s="139" t="str">
        <f>Cues!T14</f>
        <v/>
      </c>
    </row>
    <row r="13" spans="1:8" ht="17">
      <c r="A13" s="139" t="str">
        <f>TEXT(Cues!A15, "000")</f>
        <v>012</v>
      </c>
      <c r="B13" s="139" t="str">
        <f>Cues!C15</f>
        <v>_comment</v>
      </c>
      <c r="C13" s="139" t="str">
        <f>Cues!E15</f>
        <v>cv: detect &amp; store hair/hat style</v>
      </c>
      <c r="D13" s="139" t="str">
        <f>Cues!O15</f>
        <v/>
      </c>
      <c r="E13" s="139" t="str">
        <f>Cues!H15</f>
        <v/>
      </c>
      <c r="F13" s="150" t="str">
        <f>Cues!K15</f>
        <v/>
      </c>
      <c r="G13" s="150" t="str">
        <f>IF(Cues!Q15="","",Cues!Q15)</f>
        <v/>
      </c>
      <c r="H13" s="139" t="str">
        <f>Cues!T15</f>
        <v/>
      </c>
    </row>
    <row r="14" spans="1:8" ht="51">
      <c r="A14" s="139" t="str">
        <f>TEXT(Cues!A16, "000")</f>
        <v>013</v>
      </c>
      <c r="B14" s="139" t="str">
        <f>Cues!C16</f>
        <v>mood</v>
      </c>
      <c r="C14" s="139" t="str">
        <f>Cues!E16</f>
        <v>main lights</v>
      </c>
      <c r="D14" s="139" t="str">
        <f>Cues!O16</f>
        <v/>
      </c>
      <c r="E14" s="139" t="str">
        <f>Cues!H16</f>
        <v>{"av-command": "vision-cam-capture", "data": {"capture_image": false}}</v>
      </c>
      <c r="F14" s="150" t="str">
        <f>Cues!K16</f>
        <v>{"command" : "mood","id":13,"mood_num":"4"}</v>
      </c>
      <c r="G14" s="150" t="str">
        <f>IF(Cues!Q16="","",Cues!Q16)</f>
        <v/>
      </c>
      <c r="H14" s="139">
        <f>Cues!T16</f>
        <v>0</v>
      </c>
    </row>
    <row r="15" spans="1:8" ht="75">
      <c r="A15" s="139" t="str">
        <f>TEXT(Cues!A17, "000")</f>
        <v>014</v>
      </c>
      <c r="B15" s="139" t="str">
        <f>Cues!C17</f>
        <v>speak</v>
      </c>
      <c r="C15" s="139" t="str">
        <f>Cues!E17</f>
        <v>mask talks</v>
      </c>
      <c r="D15" s="139" t="str">
        <f>Cues!O17</f>
        <v>{ "command": "speak", "entity": "Eliza", "data" : { "text" : "Its good to see you again. How have you been?"}}</v>
      </c>
      <c r="E15" s="139" t="str">
        <f>Cues!H17</f>
        <v>{"av-command": "stt-control", "data": {"listening": false}}</v>
      </c>
      <c r="F15" s="150" t="str">
        <f>Cues!K17</f>
        <v/>
      </c>
      <c r="G15" s="150" t="str">
        <f>IF(Cues!Q17="","",Cues!Q17)</f>
        <v>{"id":"14","name":"how_have_you_been","type":"meat","channel":"say","role":"mask","text":"Its good to see you again. How have you been?","gpt_emotion":"","gpt_tone":"","animate":{"pre":"","post":"","next_state":""},"azure":{"style":"Default","degree":0.5,"pause":0,"pitch":0,"rate":0,"volume":0},"emotion":{"sadness":0,"joy":0.5,"fear":0,"disgust":0,"anger":0},"sgcom":{"mood":"positive","scale":0.5}}</v>
      </c>
      <c r="H15" s="139" t="str">
        <f>Cues!T17</f>
        <v>{"words-in" : { "entity" : "Eliza"} }</v>
      </c>
    </row>
    <row r="16" spans="1:8" ht="34">
      <c r="A16" s="139" t="str">
        <f>TEXT(Cues!A18, "000")</f>
        <v>015</v>
      </c>
      <c r="B16" s="139" t="str">
        <f>Cues!C18</f>
        <v>listen</v>
      </c>
      <c r="C16" s="139" t="str">
        <f>Cues!E18</f>
        <v>user talks</v>
      </c>
      <c r="D16" s="139" t="str">
        <f>Cues!O18</f>
        <v>{ "command": "mute", "entity": "Eliza", "data" : null}</v>
      </c>
      <c r="E16" s="139" t="str">
        <f>Cues!H18</f>
        <v>{"av-command": "stt-control", "data": {"listening": true}}</v>
      </c>
      <c r="F16" s="150" t="str">
        <f>Cues!K18</f>
        <v/>
      </c>
      <c r="G16" s="150" t="str">
        <f>IF(Cues!Q18="","",Cues!Q18)</f>
        <v/>
      </c>
      <c r="H16" s="139" t="str">
        <f>Cues!T18</f>
        <v>{"words-in" : { "entity" : "user"} }</v>
      </c>
    </row>
    <row r="17" spans="1:8" ht="75">
      <c r="A17" s="139" t="str">
        <f>TEXT(Cues!A19, "000")</f>
        <v>016</v>
      </c>
      <c r="B17" s="139" t="str">
        <f>Cues!C19</f>
        <v>speak</v>
      </c>
      <c r="C17" s="139" t="str">
        <f>Cues!E19</f>
        <v>mask talks</v>
      </c>
      <c r="D17" s="139" t="str">
        <f>Cues!O19</f>
        <v>{ "command": "speak", "entity": "Eliza", "data" : { "text" : "Something is bothering you. What is it."}}</v>
      </c>
      <c r="E17" s="139" t="str">
        <f>Cues!H19</f>
        <v>{"av-command": "stt-control", "data": {"listening": false}}</v>
      </c>
      <c r="F17" s="150" t="str">
        <f>Cues!K19</f>
        <v/>
      </c>
      <c r="G17" s="150" t="str">
        <f>IF(Cues!Q19="","",Cues!Q19)</f>
        <v>{"id":"16","name":"something_bothering","type":"meat","channel":"say","role":"mask","text":"Something is bothering you. What is it.","gpt_emotion":"","gpt_tone":"","animate":{"pre":"","post":"","next_state":""},"azure":{"style":"Sad","degree":0.3,"pause":350,"pitch":0,"rate":0,"volume":0},"emotion":{"sadness":0.3,"joy":0.2,"fear":0,"disgust":0,"anger":0},"sgcom":{"mood":"neutral","scale":0.5}}</v>
      </c>
      <c r="H17" s="139" t="str">
        <f>Cues!T19</f>
        <v>{"words-in" : { "entity" : "Eliza"} }</v>
      </c>
    </row>
    <row r="18" spans="1:8" ht="75">
      <c r="A18" s="139" t="str">
        <f>TEXT(Cues!A20, "000")</f>
        <v>017</v>
      </c>
      <c r="B18" s="139" t="str">
        <f>Cues!C20</f>
        <v>speak</v>
      </c>
      <c r="C18" s="139" t="str">
        <f>Cues!E20</f>
        <v>mask talks</v>
      </c>
      <c r="D18" s="139" t="str">
        <f>Cues!O20</f>
        <v>{ "command": "speak", "entity": "Eliza", "data" : { "text" : "You can tell [prosody pitch=-20]me[/prosody]."}}</v>
      </c>
      <c r="E18" s="139" t="str">
        <f>Cues!H20</f>
        <v>{"av-command": "stt-control", "data": {"listening": false}}</v>
      </c>
      <c r="F18" s="150" t="str">
        <f>Cues!K20</f>
        <v/>
      </c>
      <c r="G18" s="150" t="str">
        <f>IF(Cues!Q20="","",Cues!Q20)</f>
        <v>{"id":"17","name":"you_can_tell_me","type":"meat","channel":"say","role":"mask","text":"You can tell [prosody pitch=-20]me[/prosody].","gpt_emotion":"","gpt_tone":"","animate":{"pre":"","post":"","next_state":""},"azure":{"style":"Whispering","degree":1,"pause":0,"pitch":0,"rate":0,"volume":0},"emotion":{"sadness":0.3,"joy":0.2,"fear":0,"disgust":0,"anger":0},"sgcom":{"mood":"neutral","scale":0.5}}</v>
      </c>
      <c r="H18" s="139" t="str">
        <f>Cues!T20</f>
        <v>{"words-in" : { "entity" : "Eliza"} }</v>
      </c>
    </row>
    <row r="19" spans="1:8" ht="34">
      <c r="A19" s="139" t="str">
        <f>TEXT(Cues!A21, "000")</f>
        <v>018</v>
      </c>
      <c r="B19" s="139" t="str">
        <f>Cues!C21</f>
        <v>listen</v>
      </c>
      <c r="C19" s="139" t="str">
        <f>Cues!E21</f>
        <v>user talks</v>
      </c>
      <c r="D19" s="139" t="str">
        <f>Cues!O21</f>
        <v>{ "command": "mute", "entity": "Eliza", "data" : null}</v>
      </c>
      <c r="E19" s="139" t="str">
        <f>Cues!H21</f>
        <v>{"av-command": "stt-control", "data": {"listening": true}}</v>
      </c>
      <c r="F19" s="150" t="str">
        <f>Cues!K21</f>
        <v/>
      </c>
      <c r="G19" s="150" t="str">
        <f>IF(Cues!Q21="","",Cues!Q21)</f>
        <v/>
      </c>
      <c r="H19" s="139" t="str">
        <f>Cues!T21</f>
        <v>{"words-in" : { "entity" : "user"} }</v>
      </c>
    </row>
    <row r="20" spans="1:8" ht="34">
      <c r="A20" s="139" t="str">
        <f>TEXT(Cues!A22, "000")</f>
        <v>019</v>
      </c>
      <c r="B20" s="139" t="str">
        <f>Cues!C22</f>
        <v>maketext</v>
      </c>
      <c r="C20" s="139" t="str">
        <f>Cues!E22</f>
        <v>make answer</v>
      </c>
      <c r="D20" s="139" t="str">
        <f>Cues!O22</f>
        <v>{ "command": "unmute", "entity": "Eliza", "data" : {"prompt" : "Go Deeper" }}</v>
      </c>
      <c r="E20" s="139" t="str">
        <f>Cues!H22</f>
        <v>{"av-command": "stt-control", "data": {"listening": false}}</v>
      </c>
      <c r="F20" s="150" t="str">
        <f>Cues!K22</f>
        <v/>
      </c>
      <c r="G20" s="150" t="str">
        <f>IF(Cues!Q22="","",Cues!Q22)</f>
        <v>{"id":"19","type":"meat","channel":"","state":"think"}</v>
      </c>
      <c r="H20" s="139" t="str">
        <f>Cues!T22</f>
        <v>{"words-out" : { "entity" : "Eliza"} }</v>
      </c>
    </row>
    <row r="21" spans="1:8" ht="17">
      <c r="A21" s="139" t="str">
        <f>TEXT(Cues!A23, "000")</f>
        <v>020</v>
      </c>
      <c r="B21" s="139" t="str">
        <f>Cues!C23</f>
        <v>speak_gpt</v>
      </c>
      <c r="C21" s="139" t="str">
        <f>Cues!E23</f>
        <v>speak answer</v>
      </c>
      <c r="D21" s="139" t="str">
        <f>Cues!O23</f>
        <v/>
      </c>
      <c r="E21" s="139" t="str">
        <f>Cues!H23</f>
        <v/>
      </c>
      <c r="F21" s="150" t="str">
        <f>Cues!K23</f>
        <v/>
      </c>
      <c r="G21" s="150" t="str">
        <f>IF(Cues!Q23="","",Cues!Q23)</f>
        <v/>
      </c>
      <c r="H21" s="139" t="str">
        <f>Cues!T23</f>
        <v>{"words-in" : { "entity" : "Eliza"} }</v>
      </c>
    </row>
    <row r="22" spans="1:8" ht="34">
      <c r="A22" s="139" t="str">
        <f>TEXT(Cues!A24, "000")</f>
        <v>021</v>
      </c>
      <c r="B22" s="139" t="str">
        <f>Cues!C24</f>
        <v>listen</v>
      </c>
      <c r="C22" s="139" t="str">
        <f>Cues!E24</f>
        <v>user talks</v>
      </c>
      <c r="D22" s="139" t="str">
        <f>Cues!O24</f>
        <v>{ "command": "mute", "entity": "Eliza", "data" : null}</v>
      </c>
      <c r="E22" s="139" t="str">
        <f>Cues!H24</f>
        <v>{"av-command": "stt-control", "data": {"listening": true}}</v>
      </c>
      <c r="F22" s="150" t="str">
        <f>Cues!K24</f>
        <v/>
      </c>
      <c r="G22" s="150" t="str">
        <f>IF(Cues!Q24="","",Cues!Q24)</f>
        <v/>
      </c>
      <c r="H22" s="139" t="str">
        <f>Cues!T24</f>
        <v>{"words-in" : { "entity" : "user"} }</v>
      </c>
    </row>
    <row r="23" spans="1:8" ht="34">
      <c r="A23" s="139" t="str">
        <f>TEXT(Cues!A25, "000")</f>
        <v>022</v>
      </c>
      <c r="B23" s="139" t="str">
        <f>Cues!C25</f>
        <v>maketext</v>
      </c>
      <c r="C23" s="139" t="str">
        <f>Cues!E25</f>
        <v>make answer</v>
      </c>
      <c r="D23" s="139" t="str">
        <f>Cues!O25</f>
        <v>{ "command": "unmute", "entity": "Eliza", "data" : {"prompt" : "Go Deeper" }}</v>
      </c>
      <c r="E23" s="139" t="str">
        <f>Cues!H25</f>
        <v>{"av-command": "stt-control", "data": {"listening": false}}</v>
      </c>
      <c r="F23" s="150" t="str">
        <f>Cues!K25</f>
        <v/>
      </c>
      <c r="G23" s="150" t="str">
        <f>IF(Cues!Q25="","",Cues!Q25)</f>
        <v>{"id":"22","type":"meat","channel":"","state":"think"}</v>
      </c>
      <c r="H23" s="139" t="str">
        <f>Cues!T25</f>
        <v>{"words-out" : { "entity" : "Eliza"} }</v>
      </c>
    </row>
    <row r="24" spans="1:8" ht="17">
      <c r="A24" s="139" t="str">
        <f>TEXT(Cues!A26, "000")</f>
        <v>023</v>
      </c>
      <c r="B24" s="139" t="str">
        <f>Cues!C26</f>
        <v>speak_gpt</v>
      </c>
      <c r="C24" s="139" t="str">
        <f>Cues!E26</f>
        <v>speak answer</v>
      </c>
      <c r="D24" s="139" t="str">
        <f>Cues!O26</f>
        <v/>
      </c>
      <c r="E24" s="139" t="str">
        <f>Cues!H26</f>
        <v/>
      </c>
      <c r="F24" s="150" t="str">
        <f>Cues!K26</f>
        <v/>
      </c>
      <c r="G24" s="150" t="str">
        <f>IF(Cues!Q26="","",Cues!Q26)</f>
        <v/>
      </c>
      <c r="H24" s="139" t="str">
        <f>Cues!T26</f>
        <v>{"words-in" : { "entity" : "Eliza"} }</v>
      </c>
    </row>
    <row r="25" spans="1:8" ht="17">
      <c r="A25" s="139" t="str">
        <f>TEXT(Cues!A27, "000")</f>
        <v>024</v>
      </c>
      <c r="B25" s="139" t="str">
        <f>Cues!C27</f>
        <v>_comment</v>
      </c>
      <c r="C25" s="139" t="str">
        <f>Cues!E27</f>
        <v>get users posture/gesture</v>
      </c>
      <c r="D25" s="139" t="str">
        <f>Cues!O27</f>
        <v/>
      </c>
      <c r="E25" s="139" t="str">
        <f>Cues!H27</f>
        <v/>
      </c>
      <c r="F25" s="150" t="str">
        <f>Cues!K27</f>
        <v/>
      </c>
      <c r="G25" s="150" t="str">
        <f>IF(Cues!Q27="","",Cues!Q27)</f>
        <v/>
      </c>
      <c r="H25" s="139" t="str">
        <f>Cues!T27</f>
        <v/>
      </c>
    </row>
    <row r="26" spans="1:8" ht="34">
      <c r="A26" s="139" t="str">
        <f>TEXT(Cues!A28, "000")</f>
        <v>025</v>
      </c>
      <c r="B26" s="139" t="str">
        <f>Cues!C28</f>
        <v>listen</v>
      </c>
      <c r="C26" s="139" t="str">
        <f>Cues!E28</f>
        <v>user talks</v>
      </c>
      <c r="D26" s="139" t="str">
        <f>Cues!O28</f>
        <v>{ "command": "mute", "entity": "Eliza", "data" : null}</v>
      </c>
      <c r="E26" s="139" t="str">
        <f>Cues!H28</f>
        <v>{"av-command": "stt-control", "data": {"listening": true}}</v>
      </c>
      <c r="F26" s="150" t="str">
        <f>Cues!K28</f>
        <v/>
      </c>
      <c r="G26" s="150" t="str">
        <f>IF(Cues!Q28="","",Cues!Q28)</f>
        <v/>
      </c>
      <c r="H26" s="139" t="str">
        <f>Cues!T28</f>
        <v>{"words-in" : { "entity" : "user"} }</v>
      </c>
    </row>
    <row r="27" spans="1:8" ht="34">
      <c r="A27" s="139" t="str">
        <f>TEXT(Cues!A29, "000")</f>
        <v>026</v>
      </c>
      <c r="B27" s="139" t="str">
        <f>Cues!C29</f>
        <v>hallucinate</v>
      </c>
      <c r="C27" s="139" t="str">
        <f>Cues!E29</f>
        <v>generate gaslight text</v>
      </c>
      <c r="D27" s="139" t="str">
        <f>Cues!O29</f>
        <v>{ "command": "hallucinate", "entity": "Eliza", "data" : null}</v>
      </c>
      <c r="E27" s="139" t="str">
        <f>Cues!H29</f>
        <v/>
      </c>
      <c r="F27" s="150" t="str">
        <f>Cues!K29</f>
        <v/>
      </c>
      <c r="G27" s="150" t="str">
        <f>IF(Cues!Q29="","",Cues!Q29)</f>
        <v/>
      </c>
      <c r="H27" s="139">
        <f>Cues!T29</f>
        <v>0</v>
      </c>
    </row>
    <row r="28" spans="1:8" ht="34">
      <c r="A28" s="139" t="str">
        <f>TEXT(Cues!A30, "000")</f>
        <v>027</v>
      </c>
      <c r="B28" s="139" t="str">
        <f>Cues!C30</f>
        <v>maketext</v>
      </c>
      <c r="C28" s="139" t="str">
        <f>Cues!E30</f>
        <v>make answer</v>
      </c>
      <c r="D28" s="139" t="str">
        <f>Cues!O30</f>
        <v>{ "command": "unmute", "entity": "Eliza", "data" : {"prompt" : "Go Deeper" }}</v>
      </c>
      <c r="E28" s="139" t="str">
        <f>Cues!H30</f>
        <v>{"av-command": "stt-control", "data": {"listening": false}}</v>
      </c>
      <c r="F28" s="150" t="str">
        <f>Cues!K30</f>
        <v/>
      </c>
      <c r="G28" s="150" t="str">
        <f>IF(Cues!Q30="","",Cues!Q30)</f>
        <v>{"id":"27","type":"meat","channel":"","state":"think"}</v>
      </c>
      <c r="H28" s="139" t="str">
        <f>Cues!T30</f>
        <v>{"words-out" : { "entity" : "Eliza"} }</v>
      </c>
    </row>
    <row r="29" spans="1:8" ht="75">
      <c r="A29" s="139" t="str">
        <f>TEXT(Cues!A31, "000")</f>
        <v>028</v>
      </c>
      <c r="B29" s="139" t="str">
        <f>Cues!C31</f>
        <v>speak</v>
      </c>
      <c r="C29" s="139" t="str">
        <f>Cues!E31</f>
        <v>speak answer</v>
      </c>
      <c r="D29" s="139" t="str">
        <f>Cues!O31</f>
        <v>{ "command": "speak", "entity": "Eliza", "data" : { "text" : "But why do you keep shaking your head?"}}</v>
      </c>
      <c r="E29" s="139" t="str">
        <f>Cues!H31</f>
        <v>{"av-command": "stt-control", "data": {"listening": false}}</v>
      </c>
      <c r="F29" s="150" t="str">
        <f>Cues!K31</f>
        <v/>
      </c>
      <c r="G29" s="150" t="str">
        <f>IF(Cues!Q31="","",Cues!Q31)</f>
        <v>{"id":"28","name":"inquiry 03","type":"meat","channel":"say","role":"mask","text":"But why do you keep shaking your head?","gpt_emotion":"","gpt_tone":"","animate":{"pre":"","post":"","next_state":""},"azure":{"style":"","degree":0,"pause":0,"pitch":0,"rate":0,"volume":0},"emotion":{"sadness":-1,"joy":-1,"fear":-1,"disgust":-1,"anger":-1},"sgcom":{"mood":"","scale":-1,"frequency":2}}</v>
      </c>
      <c r="H29" s="139" t="str">
        <f>Cues!T31</f>
        <v>{"words-in" : { "entity" : "Eliza"} }</v>
      </c>
    </row>
    <row r="30" spans="1:8" ht="34">
      <c r="A30" s="139" t="str">
        <f>TEXT(Cues!A32, "000")</f>
        <v>029</v>
      </c>
      <c r="B30" s="139" t="str">
        <f>Cues!C32</f>
        <v>listen</v>
      </c>
      <c r="C30" s="139" t="str">
        <f>Cues!E32</f>
        <v>user talks</v>
      </c>
      <c r="D30" s="139" t="str">
        <f>Cues!O32</f>
        <v>{ "command": "mute", "entity": "Eliza", "data" : null}</v>
      </c>
      <c r="E30" s="139" t="str">
        <f>Cues!H32</f>
        <v>{"av-command": "stt-control", "data": {"listening": true}}</v>
      </c>
      <c r="F30" s="150" t="str">
        <f>Cues!K32</f>
        <v/>
      </c>
      <c r="G30" s="150" t="str">
        <f>IF(Cues!Q32="","",Cues!Q32)</f>
        <v/>
      </c>
      <c r="H30" s="139" t="str">
        <f>Cues!T32</f>
        <v>{"words-in" : { "entity" : "user"} }</v>
      </c>
    </row>
    <row r="31" spans="1:8" ht="90">
      <c r="A31" s="139" t="str">
        <f>TEXT(Cues!A33, "000")</f>
        <v>030</v>
      </c>
      <c r="B31" s="139" t="str">
        <f>Cues!C33</f>
        <v>speak</v>
      </c>
      <c r="C31" s="139" t="str">
        <f>Cues!E33</f>
        <v>mask talks</v>
      </c>
      <c r="D31" s="139" t="str">
        <f>Cues!O33</f>
        <v>{ "command": "speak", "entity": "Eliza", "data" : { "text" : "[break=0] [prosody pitch=-15 rate=-10]okay[/prosody]. Did you bring your diary with you?"}}</v>
      </c>
      <c r="E31" s="139" t="str">
        <f>Cues!H33</f>
        <v>{"av-command": "stt-control", "data": {"listening": false}}</v>
      </c>
      <c r="F31" s="150" t="str">
        <f>Cues!K33</f>
        <v/>
      </c>
      <c r="G31" s="150" t="str">
        <f>IF(Cues!Q33="","",Cues!Q33)</f>
        <v>{"id":"30","name":"did_you_bring_diary","type":"meat","channel":"say","role":"mask","text":"[break=0] [prosody pitch=-15 rate=-10]okay[/prosody]. Did you bring your diary with you?","gpt_emotion":"","gpt_tone":"","animate":{"pre":"","post":"","next_state":""},"azure":{"style":"Excited","degree":0.3,"pause":0,"pitch":0,"rate":-8,"volume":0},"emotion":{"sadness":0,"joy":0.2,"fear":0,"disgust":0,"anger":0},"sgcom":{"mood":"positive","scale":0.5}}</v>
      </c>
      <c r="H31" s="139" t="str">
        <f>Cues!T33</f>
        <v>{"words-in" : { "entity" : "Eliza"} }</v>
      </c>
    </row>
    <row r="32" spans="1:8" ht="34">
      <c r="A32" s="139" t="str">
        <f>TEXT(Cues!A34, "000")</f>
        <v>031</v>
      </c>
      <c r="B32" s="139" t="str">
        <f>Cues!C34</f>
        <v>listen</v>
      </c>
      <c r="C32" s="139" t="str">
        <f>Cues!E34</f>
        <v>user talks</v>
      </c>
      <c r="D32" s="139" t="str">
        <f>Cues!O34</f>
        <v>{ "command": "mute", "entity": "Eliza", "data" : null}</v>
      </c>
      <c r="E32" s="139" t="str">
        <f>Cues!H34</f>
        <v>{"av-command": "stt-control", "data": {"listening": true}}</v>
      </c>
      <c r="F32" s="150" t="str">
        <f>Cues!K34</f>
        <v/>
      </c>
      <c r="G32" s="150" t="str">
        <f>IF(Cues!Q34="","",Cues!Q34)</f>
        <v/>
      </c>
      <c r="H32" s="139" t="str">
        <f>Cues!T34</f>
        <v>{"words-in" : { "entity" : "user"} }</v>
      </c>
    </row>
    <row r="33" spans="1:8" ht="119">
      <c r="A33" s="139" t="str">
        <f>TEXT(Cues!A35, "000")</f>
        <v>032</v>
      </c>
      <c r="B33" s="139" t="str">
        <f>Cues!C35</f>
        <v>speak</v>
      </c>
      <c r="C33" s="139" t="str">
        <f>Cues!E35</f>
        <v>mask talks</v>
      </c>
      <c r="D33" s="139" t="str">
        <f>Cues!O35</f>
        <v>{ "command": "speak", "entity": "Eliza", "data" : { "text" : "Your [prosody pitch=30 rate=-20] dream [/prosody] diary. We discussed this last time. [prosody rate=-15] Dont you [prosody pitch=8]remember[/prosody][/prosody]?"}}</v>
      </c>
      <c r="E33" s="139" t="str">
        <f>Cues!H35</f>
        <v>{"av-command": "stt-control", "data": {"listening": false}}</v>
      </c>
      <c r="F33" s="150" t="str">
        <f>Cues!K35</f>
        <v/>
      </c>
      <c r="G33" s="150" t="str">
        <f>IF(Cues!Q35="","",Cues!Q35)</f>
        <v>{"id":"32","name":"we_discussed_this","type":"meat","channel":"say","role":"mask","text":"Your [prosody pitch=30 rate=-20] dream [/prosody] diary. We discussed this last time. [prosody rate=-15] Dont you [prosody pitch=8]remember[/prosody][/prosody]?","gpt_emotion":"","gpt_tone":"","animate":{"pre":"","post":"","next_state":""},"azure":{"style":"Hopeful","degree":0.3,"pause":250,"pitch":0,"rate":3,"volume":0},"emotion":{"sadness":0,"joy":0.3,"fear":0,"disgust":0,"anger":0},"sgcom":{"mood":"positive","scale":-1}}</v>
      </c>
      <c r="H33" s="139" t="str">
        <f>Cues!T35</f>
        <v>{"words-in" : { "entity" : "Eliza"} }</v>
      </c>
    </row>
    <row r="34" spans="1:8" ht="34">
      <c r="A34" s="139" t="str">
        <f>TEXT(Cues!A36, "000")</f>
        <v>033</v>
      </c>
      <c r="B34" s="139" t="str">
        <f>Cues!C36</f>
        <v>listen</v>
      </c>
      <c r="C34" s="139" t="str">
        <f>Cues!E36</f>
        <v>user talks</v>
      </c>
      <c r="D34" s="139" t="str">
        <f>Cues!O36</f>
        <v>{ "command": "mute", "entity": "Eliza", "data" : null}</v>
      </c>
      <c r="E34" s="139" t="str">
        <f>Cues!H36</f>
        <v>{"av-command": "stt-control", "data": {"listening": true}}</v>
      </c>
      <c r="F34" s="150" t="str">
        <f>Cues!K36</f>
        <v/>
      </c>
      <c r="G34" s="150" t="str">
        <f>IF(Cues!Q36="","",Cues!Q36)</f>
        <v/>
      </c>
      <c r="H34" s="139" t="str">
        <f>Cues!T36</f>
        <v>{"words-in" : { "entity" : "user"} }</v>
      </c>
    </row>
    <row r="35" spans="1:8" ht="90">
      <c r="A35" s="139" t="str">
        <f>TEXT(Cues!A37, "000")</f>
        <v>034</v>
      </c>
      <c r="B35" s="139" t="str">
        <f>Cues!C37</f>
        <v>speak</v>
      </c>
      <c r="C35" s="139" t="str">
        <f>Cues!E37</f>
        <v>mask talks</v>
      </c>
      <c r="D35" s="139" t="str">
        <f>Cues!O37</f>
        <v>{ "command": "speak", "entity": "Eliza", "data" : { "text" : "Then tell me about a recent dream you had."}}</v>
      </c>
      <c r="E35" s="139" t="str">
        <f>Cues!H37</f>
        <v>{"av-command": "stt-control", "data": {"listening": false}}</v>
      </c>
      <c r="F35" s="150" t="str">
        <f>Cues!K37</f>
        <v/>
      </c>
      <c r="G35" s="150" t="str">
        <f>IF(Cues!Q37="","",Cues!Q37)</f>
        <v>{"id":"34","name":"recent_dream","type":"meat","channel":"say","role":"mask","text":"Then tell me about a recent dream you had.","gpt_emotion":"","gpt_tone":"","animate":{"pre":"eyeroll","post":"","next_state":""},"azure":{"style":"Unfriendly","degree":0.3,"pause":0,"pitch":0,"rate":-8,"volume":0},"emotion":{"sadness":0,"joy":0.2,"fear":0,"disgust":0,"anger":0},"sgcom":{"mood":"neutral","scale":-1}}</v>
      </c>
      <c r="H35" s="139" t="str">
        <f>Cues!T37</f>
        <v>{"words-in" : { "entity" : "Eliza"} }</v>
      </c>
    </row>
    <row r="36" spans="1:8" ht="34">
      <c r="A36" s="139" t="str">
        <f>TEXT(Cues!A38, "000")</f>
        <v>035</v>
      </c>
      <c r="B36" s="139" t="str">
        <f>Cues!C38</f>
        <v>listen</v>
      </c>
      <c r="C36" s="139" t="str">
        <f>Cues!E38</f>
        <v>user talks</v>
      </c>
      <c r="D36" s="139" t="str">
        <f>Cues!O38</f>
        <v>{ "command": "mute", "entity": "Eliza", "data" : null}</v>
      </c>
      <c r="E36" s="139" t="str">
        <f>Cues!H38</f>
        <v>{"av-command": "stt-control", "data": {"listening": true}}</v>
      </c>
      <c r="F36" s="150" t="str">
        <f>Cues!K38</f>
        <v/>
      </c>
      <c r="G36" s="150" t="str">
        <f>IF(Cues!Q38="","",Cues!Q38)</f>
        <v/>
      </c>
      <c r="H36" s="139" t="str">
        <f>Cues!T38</f>
        <v>{"words-in" : { "entity" : "user"} }</v>
      </c>
    </row>
    <row r="37" spans="1:8" ht="90">
      <c r="A37" s="139" t="str">
        <f>TEXT(Cues!A39, "000")</f>
        <v>036</v>
      </c>
      <c r="B37" s="139" t="str">
        <f>Cues!C39</f>
        <v>speak</v>
      </c>
      <c r="C37" s="139" t="str">
        <f>Cues!E39</f>
        <v>mask talks</v>
      </c>
      <c r="D37" s="139" t="str">
        <f>Cues!O39</f>
        <v>{ "command": "speak", "entity": "Eliza", "data" : { "text" : "Thank you. That was beautiful. "}}</v>
      </c>
      <c r="E37" s="139" t="str">
        <f>Cues!H39</f>
        <v>{"av-command": "stt-control", "data": {"listening": false}}</v>
      </c>
      <c r="F37" s="150" t="str">
        <f>Cues!K39</f>
        <v/>
      </c>
      <c r="G37" s="150" t="str">
        <f>IF(Cues!Q39="","",Cues!Q39)</f>
        <v>{"id":"36","name":"beautiful","type":"meat","channel":"say","role":"mask","text":"Thank you. That was beautiful. ","gpt_emotion":"","gpt_tone":"","animate":{"pre":"","post":"","next_state":""},"azure":{"style":"Cheerful","degree":0.6,"pause":0,"pitch":0,"rate":-3,"volume":0},"emotion":{"sadness":0,"joy":1,"fear":0,"disgust":0,"anger":0},"sgcom":{"mood":"positive","scale":-1}}</v>
      </c>
      <c r="H37" s="139" t="str">
        <f>Cues!T39</f>
        <v>{"words-in" : { "entity" : "Eliza"} }</v>
      </c>
    </row>
    <row r="38" spans="1:8" ht="34">
      <c r="A38" s="139" t="str">
        <f>TEXT(Cues!A40, "000")</f>
        <v>037</v>
      </c>
      <c r="B38" s="139" t="str">
        <f>Cues!C40</f>
        <v>listen</v>
      </c>
      <c r="C38" s="139" t="str">
        <f>Cues!E40</f>
        <v>user talks</v>
      </c>
      <c r="D38" s="139" t="str">
        <f>Cues!O40</f>
        <v>{ "command": "mute", "entity": "Eliza", "data" : null}</v>
      </c>
      <c r="E38" s="139" t="str">
        <f>Cues!H40</f>
        <v>{"av-command": "stt-control", "data": {"listening": true}}</v>
      </c>
      <c r="F38" s="150" t="str">
        <f>Cues!K40</f>
        <v/>
      </c>
      <c r="G38" s="150" t="str">
        <f>IF(Cues!Q40="","",Cues!Q40)</f>
        <v/>
      </c>
      <c r="H38" s="139" t="str">
        <f>Cues!T40</f>
        <v>{"words-in" : { "entity" : "user"} }</v>
      </c>
    </row>
    <row r="39" spans="1:8" ht="90">
      <c r="A39" s="139" t="str">
        <f>TEXT(Cues!A41, "000")</f>
        <v>038</v>
      </c>
      <c r="B39" s="139" t="str">
        <f>Cues!C41</f>
        <v>speak</v>
      </c>
      <c r="C39" s="139" t="str">
        <f>Cues!E41</f>
        <v>mask talks</v>
      </c>
      <c r="D39" s="139" t="str">
        <f>Cues!O41</f>
        <v>{ "command": "speak", "entity": "Eliza", "data" : { "text" : "How did that dream make you feel?"}}</v>
      </c>
      <c r="E39" s="139" t="str">
        <f>Cues!H41</f>
        <v>{"av-command": "stt-control", "data": {"listening": false}}</v>
      </c>
      <c r="F39" s="150" t="str">
        <f>Cues!K41</f>
        <v/>
      </c>
      <c r="G39" s="150" t="str">
        <f>IF(Cues!Q41="","",Cues!Q41)</f>
        <v>{"id":"38","name":"make_you_feel","type":"meat","channel":"say","role":"mask","text":"How did that dream make you feel?","gpt_emotion":"","gpt_tone":"","animate":{"pre":"","post":"","next_state":""},"azure":{"style":"Whispering","degree":0.6,"pause":0,"pitch":0,"rate":-10,"volume":0},"emotion":{"sadness":0,"joy":0.2,"fear":0,"disgust":0,"anger":0},"sgcom":{"mood":"","scale":-1}}</v>
      </c>
      <c r="H39" s="139" t="str">
        <f>Cues!T41</f>
        <v>{"words-in" : { "entity" : "Eliza"} }</v>
      </c>
    </row>
    <row r="40" spans="1:8" ht="34">
      <c r="A40" s="139" t="str">
        <f>TEXT(Cues!A42, "000")</f>
        <v>039</v>
      </c>
      <c r="B40" s="139" t="str">
        <f>Cues!C42</f>
        <v>listen</v>
      </c>
      <c r="C40" s="139" t="str">
        <f>Cues!E42</f>
        <v>user talks</v>
      </c>
      <c r="D40" s="139" t="str">
        <f>Cues!O42</f>
        <v>{ "command": "mute", "entity": "Eliza", "data" : null}</v>
      </c>
      <c r="E40" s="139" t="str">
        <f>Cues!H42</f>
        <v>{"av-command": "stt-control", "data": {"listening": true}}</v>
      </c>
      <c r="F40" s="150" t="str">
        <f>Cues!K42</f>
        <v/>
      </c>
      <c r="G40" s="150" t="str">
        <f>IF(Cues!Q42="","",Cues!Q42)</f>
        <v/>
      </c>
      <c r="H40" s="139" t="str">
        <f>Cues!T42</f>
        <v>{"words-in" : { "entity" : "user"} }</v>
      </c>
    </row>
    <row r="41" spans="1:8" ht="34">
      <c r="A41" s="139" t="str">
        <f>TEXT(Cues!A43, "000")</f>
        <v>040</v>
      </c>
      <c r="B41" s="139" t="str">
        <f>Cues!C43</f>
        <v>maketext</v>
      </c>
      <c r="C41" s="139" t="str">
        <f>Cues!E43</f>
        <v>make answer</v>
      </c>
      <c r="D41" s="139" t="str">
        <f>Cues!O43</f>
        <v>{ "command": "unmute", "entity": "Eliza", "data" : {"prompt" : "Go Deeper" }}</v>
      </c>
      <c r="E41" s="139" t="str">
        <f>Cues!H43</f>
        <v>{"av-command": "stt-control", "data": {"listening": false}}</v>
      </c>
      <c r="F41" s="150" t="str">
        <f>Cues!K43</f>
        <v/>
      </c>
      <c r="G41" s="150" t="str">
        <f>IF(Cues!Q43="","",Cues!Q43)</f>
        <v>{"id":"40","type":"meat","channel":"","state":"think"}</v>
      </c>
      <c r="H41" s="139" t="str">
        <f>Cues!T43</f>
        <v>{"words-out" : { "entity" : "Eliza"} }</v>
      </c>
    </row>
    <row r="42" spans="1:8" ht="17">
      <c r="A42" s="139" t="str">
        <f>TEXT(Cues!A44, "000")</f>
        <v>041</v>
      </c>
      <c r="B42" s="139" t="str">
        <f>Cues!C44</f>
        <v>speak_gpt</v>
      </c>
      <c r="C42" s="139" t="str">
        <f>Cues!E44</f>
        <v>speak answer</v>
      </c>
      <c r="D42" s="139" t="str">
        <f>Cues!O44</f>
        <v/>
      </c>
      <c r="E42" s="139" t="str">
        <f>Cues!H44</f>
        <v/>
      </c>
      <c r="F42" s="150" t="str">
        <f>Cues!K44</f>
        <v/>
      </c>
      <c r="G42" s="150" t="str">
        <f>IF(Cues!Q44="","",Cues!Q44)</f>
        <v/>
      </c>
      <c r="H42" s="139" t="str">
        <f>Cues!T44</f>
        <v>{"words-in" : { "entity" : "Eliza"} }</v>
      </c>
    </row>
    <row r="43" spans="1:8" ht="34">
      <c r="A43" s="139" t="str">
        <f>TEXT(Cues!A45, "000")</f>
        <v>042</v>
      </c>
      <c r="B43" s="139" t="str">
        <f>Cues!C45</f>
        <v>listen</v>
      </c>
      <c r="C43" s="139" t="str">
        <f>Cues!E45</f>
        <v>user talks</v>
      </c>
      <c r="D43" s="139" t="str">
        <f>Cues!O45</f>
        <v>{ "command": "mute", "entity": "Eliza", "data" : null}</v>
      </c>
      <c r="E43" s="139" t="str">
        <f>Cues!H45</f>
        <v>{"av-command": "stt-control", "data": {"listening": true}}</v>
      </c>
      <c r="F43" s="150" t="str">
        <f>Cues!K45</f>
        <v/>
      </c>
      <c r="G43" s="150" t="str">
        <f>IF(Cues!Q45="","",Cues!Q45)</f>
        <v/>
      </c>
      <c r="H43" s="139" t="str">
        <f>Cues!T45</f>
        <v>{"words-in" : { "entity" : "user"} }</v>
      </c>
    </row>
    <row r="44" spans="1:8" ht="34">
      <c r="A44" s="139" t="str">
        <f>TEXT(Cues!A46, "000")</f>
        <v>043</v>
      </c>
      <c r="B44" s="139" t="str">
        <f>Cues!C46</f>
        <v>maketext</v>
      </c>
      <c r="C44" s="139" t="str">
        <f>Cues!E46</f>
        <v>make answer</v>
      </c>
      <c r="D44" s="139" t="str">
        <f>Cues!O46</f>
        <v>{ "command": "unmute", "entity": "Eliza", "data" : {"prompt" : "Go Deeper" }}</v>
      </c>
      <c r="E44" s="139" t="str">
        <f>Cues!H46</f>
        <v>{"av-command": "stt-control", "data": {"listening": false}}</v>
      </c>
      <c r="F44" s="150" t="str">
        <f>Cues!K46</f>
        <v/>
      </c>
      <c r="G44" s="150" t="str">
        <f>IF(Cues!Q46="","",Cues!Q46)</f>
        <v>{"id":"43","type":"meat","channel":"","state":"think"}</v>
      </c>
      <c r="H44" s="139" t="str">
        <f>Cues!T46</f>
        <v>{"words-out" : { "entity" : "Eliza"} }</v>
      </c>
    </row>
    <row r="45" spans="1:8" ht="17">
      <c r="A45" s="139" t="str">
        <f>TEXT(Cues!A47, "000")</f>
        <v>044</v>
      </c>
      <c r="B45" s="139" t="str">
        <f>Cues!C47</f>
        <v>speak_gpt</v>
      </c>
      <c r="C45" s="139" t="str">
        <f>Cues!E47</f>
        <v>speak answer</v>
      </c>
      <c r="D45" s="139" t="str">
        <f>Cues!O47</f>
        <v/>
      </c>
      <c r="E45" s="139" t="str">
        <f>Cues!H47</f>
        <v/>
      </c>
      <c r="F45" s="150" t="str">
        <f>Cues!K47</f>
        <v/>
      </c>
      <c r="G45" s="150" t="str">
        <f>IF(Cues!Q47="","",Cues!Q47)</f>
        <v/>
      </c>
      <c r="H45" s="139" t="str">
        <f>Cues!T47</f>
        <v>{"words-in" : { "entity" : "Eliza"} }</v>
      </c>
    </row>
    <row r="46" spans="1:8" ht="34">
      <c r="A46" s="139" t="str">
        <f>TEXT(Cues!A48, "000")</f>
        <v>045</v>
      </c>
      <c r="B46" s="139" t="str">
        <f>Cues!C48</f>
        <v>listen</v>
      </c>
      <c r="C46" s="139" t="str">
        <f>Cues!E48</f>
        <v>user talks</v>
      </c>
      <c r="D46" s="139" t="str">
        <f>Cues!O48</f>
        <v>{ "command": "mute", "entity": "Eliza", "data" : null}</v>
      </c>
      <c r="E46" s="139" t="str">
        <f>Cues!H48</f>
        <v>{"av-command": "stt-control", "data": {"listening": true}}</v>
      </c>
      <c r="F46" s="150" t="str">
        <f>Cues!K48</f>
        <v/>
      </c>
      <c r="G46" s="150" t="str">
        <f>IF(Cues!Q48="","",Cues!Q48)</f>
        <v/>
      </c>
      <c r="H46" s="139" t="str">
        <f>Cues!T48</f>
        <v>{"words-in" : { "entity" : "user"} }</v>
      </c>
    </row>
    <row r="47" spans="1:8" ht="90">
      <c r="A47" s="139" t="str">
        <f>TEXT(Cues!A49, "000")</f>
        <v>046</v>
      </c>
      <c r="B47" s="139" t="str">
        <f>Cues!C49</f>
        <v>speak</v>
      </c>
      <c r="C47" s="139" t="str">
        <f>Cues!E49</f>
        <v>mask talks</v>
      </c>
      <c r="D47" s="139" t="str">
        <f>Cues!O49</f>
        <v>{ "command": "speak", "entity": "Eliza", "data" : { "text" : "I have prepared a text for you to read. Would you like to do that?"}}</v>
      </c>
      <c r="E47" s="139" t="str">
        <f>Cues!H49</f>
        <v>{"av-command": "stt-control", "data": {"listening": false}}</v>
      </c>
      <c r="F47" s="150" t="str">
        <f>Cues!K49</f>
        <v/>
      </c>
      <c r="G47" s="150" t="str">
        <f>IF(Cues!Q49="","",Cues!Q49)</f>
        <v>{"id":"46","name":"prepared_a_text","type":"meat","channel":"say","role":"mask","text":"I have prepared a text for you to read. Would you like to do that?","gpt_emotion":"","gpt_tone":"","animate":{"pre":"","post":"","next_state":""},"azure":{"style":"Whispering","degree":0.3,"pause":0,"pitch":0,"rate":-8,"volume":0},"emotion":{"sadness":-1,"joy":-1,"fear":-1,"disgust":-1,"anger":-1},"sgcom":{"mood":"","scale":-1}}</v>
      </c>
      <c r="H47" s="139" t="str">
        <f>Cues!T49</f>
        <v>{"words-in" : { "entity" : "Eliza"} }</v>
      </c>
    </row>
    <row r="48" spans="1:8" ht="34">
      <c r="A48" s="139" t="str">
        <f>TEXT(Cues!A50, "000")</f>
        <v>047</v>
      </c>
      <c r="B48" s="139" t="str">
        <f>Cues!C50</f>
        <v>listen</v>
      </c>
      <c r="C48" s="139" t="str">
        <f>Cues!E50</f>
        <v>user talks</v>
      </c>
      <c r="D48" s="139" t="str">
        <f>Cues!O50</f>
        <v>{ "command": "mute", "entity": "Eliza", "data" : null}</v>
      </c>
      <c r="E48" s="139" t="str">
        <f>Cues!H50</f>
        <v>{"av-command": "stt-control", "data": {"listening": true}}</v>
      </c>
      <c r="F48" s="150" t="str">
        <f>Cues!K50</f>
        <v/>
      </c>
      <c r="G48" s="150" t="str">
        <f>IF(Cues!Q50="","",Cues!Q50)</f>
        <v/>
      </c>
      <c r="H48" s="139" t="str">
        <f>Cues!T50</f>
        <v>{"words-in" : { "entity" : "user"} }</v>
      </c>
    </row>
    <row r="49" spans="1:8" ht="75">
      <c r="A49" s="139" t="str">
        <f>TEXT(Cues!A51, "000")</f>
        <v>048</v>
      </c>
      <c r="B49" s="139" t="str">
        <f>Cues!C51</f>
        <v>speak</v>
      </c>
      <c r="C49" s="139" t="str">
        <f>Cues!E51</f>
        <v>mask talks</v>
      </c>
      <c r="D49" s="139" t="str">
        <f>Cues!O51</f>
        <v>{ "command": "speak", "entity": "Eliza", "data" : { "text" : "Then please: [break=200] Look under the cleenex box."}}</v>
      </c>
      <c r="E49" s="139" t="str">
        <f>Cues!H51</f>
        <v>{"av-command": "stt-control", "data": {"listening": false}}</v>
      </c>
      <c r="F49" s="150" t="str">
        <f>Cues!K51</f>
        <v/>
      </c>
      <c r="G49" s="150" t="str">
        <f>IF(Cues!Q51="","",Cues!Q51)</f>
        <v>{"id":"48","name":"look_under_the_box","type":"meat","channel":"say","role":"mask","text":"Then please: [break=200] Look under the cleenex box.","gpt_emotion":"","gpt_tone":"","animate":{"pre":"","post":"","next_state":""},"azure":{"style":"Hopeful","degree":0.2,"pause":0,"pitch":0,"rate":-3,"volume":0},"emotion":{"sadness":-1,"joy":-1,"fear":-1,"disgust":-1,"anger":-1},"sgcom":{"mood":"","scale":-1}}</v>
      </c>
      <c r="H49" s="139" t="str">
        <f>Cues!T51</f>
        <v>{"words-in" : { "entity" : "Eliza"} }</v>
      </c>
    </row>
    <row r="50" spans="1:8" ht="17">
      <c r="A50" s="139" t="str">
        <f>TEXT(Cues!A52, "000")</f>
        <v>049</v>
      </c>
      <c r="B50" s="139" t="str">
        <f>Cues!C52</f>
        <v>mood</v>
      </c>
      <c r="C50" s="139" t="str">
        <f>Cues!E52</f>
        <v>light: spot on cleenex box</v>
      </c>
      <c r="D50" s="139" t="str">
        <f>Cues!O52</f>
        <v/>
      </c>
      <c r="E50" s="139" t="str">
        <f>Cues!H52</f>
        <v/>
      </c>
      <c r="F50" s="150" t="str">
        <f>Cues!K52</f>
        <v>{"command" : "mood","id":49,"mood_num":"5"}</v>
      </c>
      <c r="G50" s="150" t="str">
        <f>IF(Cues!Q52="","",Cues!Q52)</f>
        <v/>
      </c>
      <c r="H50" s="139">
        <f>Cues!T52</f>
        <v>0</v>
      </c>
    </row>
    <row r="51" spans="1:8" ht="17">
      <c r="A51" s="139" t="str">
        <f>TEXT(Cues!A53, "000")</f>
        <v>050</v>
      </c>
      <c r="B51" s="139" t="str">
        <f>Cues!C53</f>
        <v>observe</v>
      </c>
      <c r="C51" s="139" t="str">
        <f>Cues!E53</f>
        <v>cv: wait until user takes paper</v>
      </c>
      <c r="D51" s="139" t="str">
        <f>Cues!O53</f>
        <v/>
      </c>
      <c r="E51" s="139" t="str">
        <f>Cues!H53</f>
        <v/>
      </c>
      <c r="F51" s="150" t="str">
        <f>Cues!K53</f>
        <v/>
      </c>
      <c r="G51" s="150" t="str">
        <f>IF(Cues!Q53="","",Cues!Q53)</f>
        <v/>
      </c>
      <c r="H51" s="139" t="str">
        <f>Cues!T53</f>
        <v/>
      </c>
    </row>
    <row r="52" spans="1:8" ht="17">
      <c r="A52" s="139" t="str">
        <f>TEXT(Cues!A54, "000")</f>
        <v>051</v>
      </c>
      <c r="B52" s="139" t="str">
        <f>Cues!C54</f>
        <v>_comment</v>
      </c>
      <c r="C52" s="139" t="str">
        <f>Cues!E54</f>
        <v>probably manually detected</v>
      </c>
      <c r="D52" s="139" t="str">
        <f>Cues!O54</f>
        <v/>
      </c>
      <c r="E52" s="139" t="str">
        <f>Cues!H54</f>
        <v/>
      </c>
      <c r="F52" s="150" t="str">
        <f>Cues!K54</f>
        <v/>
      </c>
      <c r="G52" s="150" t="str">
        <f>IF(Cues!Q54="","",Cues!Q54)</f>
        <v/>
      </c>
      <c r="H52" s="139" t="str">
        <f>Cues!T54</f>
        <v/>
      </c>
    </row>
    <row r="53" spans="1:8" ht="90">
      <c r="A53" s="139" t="str">
        <f>TEXT(Cues!A55, "000")</f>
        <v>051</v>
      </c>
      <c r="B53" s="139" t="str">
        <f>Cues!C55</f>
        <v>speak</v>
      </c>
      <c r="C53" s="139" t="str">
        <f>Cues!E55</f>
        <v>mask talks</v>
      </c>
      <c r="D53" s="139" t="str">
        <f>Cues!O55</f>
        <v>{ "command": "speak", "entity": "Eliza", "data" : { "text" : "Go on. Please read it to me."}}</v>
      </c>
      <c r="E53" s="139" t="str">
        <f>Cues!H55</f>
        <v>{"av-command": "stt-control", "data": {"listening": false}}</v>
      </c>
      <c r="F53" s="150" t="str">
        <f>Cues!K55</f>
        <v/>
      </c>
      <c r="G53" s="150" t="str">
        <f>IF(Cues!Q55="","",Cues!Q55)</f>
        <v>{"id":"51","name":"read_it","type":"meat","channel":"say","role":"mask","text":"Go on. Please read it to me.","gpt_emotion":"","gpt_tone":"","animate":{"pre":"","post":"","next_state":""},"azure":{"style":"Friendly","degree":0.3,"pause":150,"pitch":0,"rate":-12,"volume":0},"emotion":{"sadness":-1,"joy":-1,"fear":-1,"disgust":-1,"anger":-1},"sgcom":{"mood":"","scale":-1}}</v>
      </c>
      <c r="H53" s="139" t="str">
        <f>Cues!T55</f>
        <v>{"words-in" : { "entity" : "Eliza"} }</v>
      </c>
    </row>
    <row r="54" spans="1:8" ht="34">
      <c r="A54" s="139" t="str">
        <f>TEXT(Cues!A56, "000")</f>
        <v>052</v>
      </c>
      <c r="B54" s="139" t="str">
        <f>Cues!C56</f>
        <v>listen</v>
      </c>
      <c r="C54" s="139" t="str">
        <f>Cues!E56</f>
        <v>user talks</v>
      </c>
      <c r="D54" s="139" t="str">
        <f>Cues!O56</f>
        <v>{ "command": "mute", "entity": "Eliza", "data" : null}</v>
      </c>
      <c r="E54" s="139" t="str">
        <f>Cues!H56</f>
        <v>{"av-command": "stt-control", "data": {"listening": true}}</v>
      </c>
      <c r="F54" s="150" t="str">
        <f>Cues!K56</f>
        <v/>
      </c>
      <c r="G54" s="150" t="str">
        <f>IF(Cues!Q56="","",Cues!Q56)</f>
        <v/>
      </c>
      <c r="H54" s="139" t="str">
        <f>Cues!T56</f>
        <v>{"words-in" : { "entity" : "user"} }</v>
      </c>
    </row>
    <row r="55" spans="1:8" ht="17">
      <c r="A55" s="139" t="str">
        <f>TEXT(Cues!A57, "000")</f>
        <v>053</v>
      </c>
      <c r="B55" s="139" t="str">
        <f>Cues!C57</f>
        <v>mood</v>
      </c>
      <c r="C55" s="139" t="str">
        <f>Cues!E57</f>
        <v>main lights</v>
      </c>
      <c r="D55" s="139" t="str">
        <f>Cues!O57</f>
        <v/>
      </c>
      <c r="E55" s="139" t="str">
        <f>Cues!H57</f>
        <v/>
      </c>
      <c r="F55" s="150" t="str">
        <f>Cues!K57</f>
        <v>{"command" : "mood","id":53,"mood_num":"4"}</v>
      </c>
      <c r="G55" s="150" t="str">
        <f>IF(Cues!Q57="","",Cues!Q57)</f>
        <v/>
      </c>
      <c r="H55" s="139">
        <f>Cues!T57</f>
        <v>0</v>
      </c>
    </row>
    <row r="56" spans="1:8" ht="409.6">
      <c r="A56" s="139" t="str">
        <f>TEXT(Cues!A58, "000")</f>
        <v>054</v>
      </c>
      <c r="B56" s="139" t="str">
        <f>Cues!C58</f>
        <v>fakemake</v>
      </c>
      <c r="C56" s="139" t="str">
        <f>Cues!E58</f>
        <v>TD: train voice from audio recordings / make videos (including from azure voice)</v>
      </c>
      <c r="D56" s="139" t="str">
        <f>Cues!O58</f>
        <v/>
      </c>
      <c r="E56" s="139" t="str">
        <f>Cues!H58</f>
        <v/>
      </c>
      <c r="F56" s="150" t="str">
        <f>Cues!K58</f>
        <v>{"command" : "makefake","id":54,"data":[{"text":{"en":"Sometimes,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G56" s="150" t="str">
        <f>IF(Cues!Q58="","",Cues!Q58)</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H56" s="139">
        <f>Cues!T58</f>
        <v>0</v>
      </c>
    </row>
    <row r="57" spans="1:8" ht="90">
      <c r="A57" s="139" t="str">
        <f>TEXT(Cues!A59, "000")</f>
        <v>055</v>
      </c>
      <c r="B57" s="139" t="str">
        <f>Cues!C59</f>
        <v>_deepfake_data</v>
      </c>
      <c r="C57" s="139" t="str">
        <f>Cues!E59</f>
        <v>generate &amp; store audio/video</v>
      </c>
      <c r="D57" s="139" t="str">
        <f>Cues!O59</f>
        <v/>
      </c>
      <c r="E57" s="139" t="str">
        <f>Cues!H59</f>
        <v/>
      </c>
      <c r="F57" s="150" t="str">
        <f>Cues!K59</f>
        <v/>
      </c>
      <c r="G57" s="150" t="str">
        <f>IF(Cues!Q59="","",Cues!Q59)</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v>
      </c>
      <c r="H57" s="139" t="str">
        <f>Cues!T59</f>
        <v/>
      </c>
    </row>
    <row r="58" spans="1:8" ht="60">
      <c r="A58" s="139" t="str">
        <f>TEXT(Cues!A60, "000")</f>
        <v>056</v>
      </c>
      <c r="B58" s="139" t="str">
        <f>Cues!C60</f>
        <v>_deepfake_data</v>
      </c>
      <c r="C58" s="139" t="str">
        <f>Cues!E60</f>
        <v>generate &amp; store audio/video</v>
      </c>
      <c r="D58" s="139" t="str">
        <f>Cues!O60</f>
        <v/>
      </c>
      <c r="E58" s="139" t="str">
        <f>Cues!H60</f>
        <v/>
      </c>
      <c r="F58" s="150" t="str">
        <f>Cues!K60</f>
        <v/>
      </c>
      <c r="G58" s="150" t="str">
        <f>IF(Cues!Q60="","",Cues!Q60)</f>
        <v>{"text":{"en":"Don't interrupt us when we're talking to you!","de":"Halt' den Mund und hör uns gut zu!"},"filename":"091_dont_interrupt","id":91,"expressions":[{"expression":"happy","start_frame":0,"intensity":1}]}</v>
      </c>
      <c r="H58" s="139" t="str">
        <f>Cues!T60</f>
        <v/>
      </c>
    </row>
    <row r="59" spans="1:8" ht="45">
      <c r="A59" s="139" t="str">
        <f>TEXT(Cues!A61, "000")</f>
        <v>057</v>
      </c>
      <c r="B59" s="139" t="str">
        <f>Cues!C61</f>
        <v>_deepfake_data</v>
      </c>
      <c r="C59" s="139" t="str">
        <f>Cues!E61</f>
        <v>generate &amp; store audio/video</v>
      </c>
      <c r="D59" s="139" t="str">
        <f>Cues!O61</f>
        <v/>
      </c>
      <c r="E59" s="139" t="str">
        <f>Cues!H61</f>
        <v/>
      </c>
      <c r="F59" s="150" t="str">
        <f>Cues!K61</f>
        <v/>
      </c>
      <c r="G59" s="150" t="str">
        <f>IF(Cues!Q61="","",Cues!Q61)</f>
        <v>{"text":{"en":"We should listen to him.","de":"Wir sollten auf ihn hören. "},"filename":"099_we_should_listen","id":99,"expressions":[{"expression":"serious","start_frame":0,"intensity":1}]}</v>
      </c>
      <c r="H59" s="139" t="str">
        <f>Cues!T61</f>
        <v/>
      </c>
    </row>
    <row r="60" spans="1:8" ht="45">
      <c r="A60" s="139" t="str">
        <f>TEXT(Cues!A62, "000")</f>
        <v>058</v>
      </c>
      <c r="B60" s="139" t="str">
        <f>Cues!C62</f>
        <v>_deepfake_data</v>
      </c>
      <c r="C60" s="139" t="str">
        <f>Cues!E62</f>
        <v>generate &amp; store audio/video</v>
      </c>
      <c r="D60" s="139" t="str">
        <f>Cues!O62</f>
        <v/>
      </c>
      <c r="E60" s="139" t="str">
        <f>Cues!H62</f>
        <v/>
      </c>
      <c r="F60" s="150" t="str">
        <f>Cues!K62</f>
        <v/>
      </c>
      <c r="G60" s="150" t="str">
        <f>IF(Cues!Q62="","",Cues!Q62)</f>
        <v>{"text":{"en":" He just wants us to succeed!","de":"Er will nur unser Bestes."},"filename":"100_he_wants_us_to","id":100,"expressions":[{"expression":"surprise","start_frame":0,"intensity":1}]}</v>
      </c>
      <c r="H60" s="139" t="str">
        <f>Cues!T62</f>
        <v/>
      </c>
    </row>
    <row r="61" spans="1:8" ht="60">
      <c r="A61" s="139" t="str">
        <f>TEXT(Cues!A63, "000")</f>
        <v>059</v>
      </c>
      <c r="B61" s="139" t="str">
        <f>Cues!C63</f>
        <v>_deepfake_data</v>
      </c>
      <c r="C61" s="139" t="str">
        <f>Cues!E63</f>
        <v>generate &amp; store audio/video</v>
      </c>
      <c r="D61" s="139" t="str">
        <f>Cues!O63</f>
        <v/>
      </c>
      <c r="E61" s="139" t="str">
        <f>Cues!H63</f>
        <v/>
      </c>
      <c r="F61" s="150" t="str">
        <f>Cues!K63</f>
        <v/>
      </c>
      <c r="G61" s="150" t="str">
        <f>IF(Cues!Q63="","",Cues!Q63)</f>
        <v>{"text":{"en":"And your life would be so much better if you just did as you’re told.","de":"Und Dein Leben wäre so viel einfacher, wenn Du einfach nur tun würdest, was Dir gesagt wird"},"filename":"102_your_life_would_be","id":102,"expressions":[{"expression":"surprise","start_frame":0,"intensity":1}]}</v>
      </c>
      <c r="H61" s="139" t="str">
        <f>Cues!T63</f>
        <v/>
      </c>
    </row>
    <row r="62" spans="1:8" ht="45">
      <c r="A62" s="139" t="str">
        <f>TEXT(Cues!A64, "000")</f>
        <v>060</v>
      </c>
      <c r="B62" s="139" t="str">
        <f>Cues!C64</f>
        <v>_deepfake_data</v>
      </c>
      <c r="C62" s="139" t="str">
        <f>Cues!E64</f>
        <v>generate &amp; store audio/video</v>
      </c>
      <c r="D62" s="139" t="str">
        <f>Cues!O64</f>
        <v/>
      </c>
      <c r="E62" s="139" t="str">
        <f>Cues!H64</f>
        <v/>
      </c>
      <c r="F62" s="150" t="str">
        <f>Cues!K64</f>
        <v/>
      </c>
      <c r="G62" s="150" t="str">
        <f>IF(Cues!Q64="","",Cues!Q64)</f>
        <v>{"text":{"en":"I don’t think he has. ","de":"Da glaub' ich nicht dran."},"filename":"104_i_dont_think","id":104,"expressions":[{"expression":"happy","start_frame":0,"intensity":1}]}</v>
      </c>
      <c r="H62" s="139" t="str">
        <f>Cues!T64</f>
        <v/>
      </c>
    </row>
    <row r="63" spans="1:8" ht="75">
      <c r="A63" s="139" t="str">
        <f>TEXT(Cues!A65, "000")</f>
        <v>061</v>
      </c>
      <c r="B63" s="139" t="str">
        <f>Cues!C65</f>
        <v>speak</v>
      </c>
      <c r="C63" s="139" t="str">
        <f>Cues!E65</f>
        <v>mask talks</v>
      </c>
      <c r="D63" s="139" t="str">
        <f>Cues!O65</f>
        <v>{ "command": "speak", "entity": "Eliza", "data" : { "text" : "Do you sometimes feel like a puppet yourself? "}}</v>
      </c>
      <c r="E63" s="139" t="str">
        <f>Cues!H65</f>
        <v>{"av-command": "stt-control", "data": {"listening": false}}</v>
      </c>
      <c r="F63" s="150" t="str">
        <f>Cues!K65</f>
        <v/>
      </c>
      <c r="G63" s="150" t="str">
        <f>IF(Cues!Q65="","",Cues!Q65)</f>
        <v>{"id":"61","name":"puppet","type":"meat","channel":"say","role":"mask","text":"Do you sometimes feel like a puppet yourself? ","gpt_emotion":"","gpt_tone":"","animate":{"pre":"","post":"","next_state":""},"azure":{"style":"Whispering","degree":0.8,"pause":0,"pitch":0,"rate":-8,"volume":0},"emotion":{"sadness":-1,"joy":-1,"fear":-1,"disgust":-1,"anger":-1},"sgcom":{"mood":"","scale":-1}}</v>
      </c>
      <c r="H63" s="139" t="str">
        <f>Cues!T65</f>
        <v>{"words-in" : { "entity" : "Eliza"} }</v>
      </c>
    </row>
    <row r="64" spans="1:8" ht="34">
      <c r="A64" s="139" t="str">
        <f>TEXT(Cues!A66, "000")</f>
        <v>062</v>
      </c>
      <c r="B64" s="139" t="str">
        <f>Cues!C66</f>
        <v>listen</v>
      </c>
      <c r="C64" s="139" t="str">
        <f>Cues!E66</f>
        <v>user talks</v>
      </c>
      <c r="D64" s="139" t="str">
        <f>Cues!O66</f>
        <v>{ "command": "mute", "entity": "Eliza", "data" : null}</v>
      </c>
      <c r="E64" s="139" t="str">
        <f>Cues!H66</f>
        <v>{"av-command": "stt-control", "data": {"listening": true}}</v>
      </c>
      <c r="F64" s="150" t="str">
        <f>Cues!K66</f>
        <v/>
      </c>
      <c r="G64" s="150" t="str">
        <f>IF(Cues!Q66="","",Cues!Q66)</f>
        <v/>
      </c>
      <c r="H64" s="139" t="str">
        <f>Cues!T66</f>
        <v>{"words-in" : { "entity" : "user"} }</v>
      </c>
    </row>
    <row r="65" spans="1:8" ht="90">
      <c r="A65" s="139" t="str">
        <f>TEXT(Cues!A67, "000")</f>
        <v>063</v>
      </c>
      <c r="B65" s="139" t="str">
        <f>Cues!C67</f>
        <v>speak</v>
      </c>
      <c r="C65" s="139" t="str">
        <f>Cues!E67</f>
        <v>mask talks</v>
      </c>
      <c r="D65" s="139" t="str">
        <f>Cues!O67</f>
        <v>{ "command": "speak", "entity": "Eliza", "data" : { "text" : "Interesting. Are there thoughts and feelings in your live that you try to avoid because they [prosody pitch=-15 rate=-10]hurt[/prosody] you?"}}</v>
      </c>
      <c r="E65" s="139" t="str">
        <f>Cues!H67</f>
        <v>{"av-command": "stt-control", "data": {"listening": false}}</v>
      </c>
      <c r="F65" s="150" t="str">
        <f>Cues!K67</f>
        <v/>
      </c>
      <c r="G65" s="150" t="str">
        <f>IF(Cues!Q67="","",Cues!Q67)</f>
        <v>{"id":"63","name":"avoid","type":"meat","channel":"say","role":"mask","text":"Interesting. Are there thoughts and feelings in your live that you try to avoid because they [prosody pitch=-15 rate=-10]hurt[/prosody] you?","gpt_emotion":"","gpt_tone":"","animate":{"pre":"","post":"","next_state":""},"azure":{"style":"","degree":0,"pause":0,"pitch":0,"rate":-8,"volume":0},"emotion":{"sadness":-1,"joy":-1,"fear":-1,"disgust":-1,"anger":-1},"sgcom":{"mood":"","scale":-1}}</v>
      </c>
      <c r="H65" s="139" t="str">
        <f>Cues!T67</f>
        <v>{"words-in" : { "entity" : "Eliza"} }</v>
      </c>
    </row>
    <row r="66" spans="1:8" ht="34">
      <c r="A66" s="139" t="str">
        <f>TEXT(Cues!A68, "000")</f>
        <v>064</v>
      </c>
      <c r="B66" s="139" t="str">
        <f>Cues!C68</f>
        <v>listen</v>
      </c>
      <c r="C66" s="139" t="str">
        <f>Cues!E68</f>
        <v>user talks</v>
      </c>
      <c r="D66" s="139" t="str">
        <f>Cues!O68</f>
        <v>{ "command": "mute", "entity": "Eliza", "data" : null}</v>
      </c>
      <c r="E66" s="139" t="str">
        <f>Cues!H68</f>
        <v>{"av-command": "stt-control", "data": {"listening": true}}</v>
      </c>
      <c r="F66" s="150" t="str">
        <f>Cues!K68</f>
        <v/>
      </c>
      <c r="G66" s="150" t="str">
        <f>IF(Cues!Q68="","",Cues!Q68)</f>
        <v/>
      </c>
      <c r="H66" s="139" t="str">
        <f>Cues!T68</f>
        <v>{"words-in" : { "entity" : "user"} }</v>
      </c>
    </row>
    <row r="67" spans="1:8" ht="75">
      <c r="A67" s="139" t="str">
        <f>TEXT(Cues!A69, "000")</f>
        <v>065</v>
      </c>
      <c r="B67" s="139" t="str">
        <f>Cues!C69</f>
        <v>speak</v>
      </c>
      <c r="C67" s="139" t="str">
        <f>Cues!E69</f>
        <v>mask talks</v>
      </c>
      <c r="D67" s="139" t="str">
        <f>Cues!O69</f>
        <v>{ "command": "speak", "entity": "Eliza", "data" : { "text" : "And how do you feel about that?"}}</v>
      </c>
      <c r="E67" s="139" t="str">
        <f>Cues!H69</f>
        <v>{"av-command": "stt-control", "data": {"listening": false}}</v>
      </c>
      <c r="F67" s="150" t="str">
        <f>Cues!K69</f>
        <v/>
      </c>
      <c r="G67" s="150" t="str">
        <f>IF(Cues!Q69="","",Cues!Q69)</f>
        <v>{"id":"65","name":"avoid","type":"meat","channel":"say","role":"mask","text":"And how do you feel about that?","gpt_emotion":"","gpt_tone":"","animate":{"pre":"","post":"","next_state":""},"azure":{"style":"","degree":0,"pause":0,"pitch":0,"rate":-8,"volume":0},"emotion":{"sadness":-1,"joy":-1,"fear":-1,"disgust":-1,"anger":-1},"sgcom":{"mood":"","scale":-1}}</v>
      </c>
      <c r="H67" s="139" t="str">
        <f>Cues!T69</f>
        <v>{"words-in" : { "entity" : "Eliza"} }</v>
      </c>
    </row>
    <row r="68" spans="1:8" ht="34">
      <c r="A68" s="139" t="str">
        <f>TEXT(Cues!A70, "000")</f>
        <v>066</v>
      </c>
      <c r="B68" s="139" t="str">
        <f>Cues!C70</f>
        <v>listen</v>
      </c>
      <c r="C68" s="139" t="str">
        <f>Cues!E70</f>
        <v>user talks</v>
      </c>
      <c r="D68" s="139" t="str">
        <f>Cues!O70</f>
        <v>{ "command": "mute", "entity": "Eliza", "data" : null}</v>
      </c>
      <c r="E68" s="139" t="str">
        <f>Cues!H70</f>
        <v>{"av-command": "stt-control", "data": {"listening": true}}</v>
      </c>
      <c r="F68" s="150" t="str">
        <f>Cues!K70</f>
        <v/>
      </c>
      <c r="G68" s="150" t="str">
        <f>IF(Cues!Q70="","",Cues!Q70)</f>
        <v/>
      </c>
      <c r="H68" s="139" t="str">
        <f>Cues!T70</f>
        <v>{"words-in" : { "entity" : "user"} }</v>
      </c>
    </row>
    <row r="69" spans="1:8" ht="60">
      <c r="A69" s="139" t="str">
        <f>TEXT(Cues!A71, "000")</f>
        <v>067</v>
      </c>
      <c r="B69" s="139" t="str">
        <f>Cues!C71</f>
        <v>speak</v>
      </c>
      <c r="C69" s="139" t="str">
        <f>Cues!E71</f>
        <v>mask talks</v>
      </c>
      <c r="D69" s="139" t="str">
        <f>Cues!O71</f>
        <v>{ "command": "speak", "entity": "Eliza", "data" : { "text" : "Ok. Let me think…"}}</v>
      </c>
      <c r="E69" s="139" t="str">
        <f>Cues!H71</f>
        <v>{"av-command": "stt-control", "data": {"listening": false}}</v>
      </c>
      <c r="F69" s="150" t="str">
        <f>Cues!K71</f>
        <v/>
      </c>
      <c r="G69" s="150" t="str">
        <f>IF(Cues!Q71="","",Cues!Q71)</f>
        <v>{"id":"67","name":"avoid","type":"meat","channel":"say","role":"mask","text":"Ok. Let me think…","gpt_emotion":"","gpt_tone":"","animate":{"pre":"","post":"","next_state":""},"azure":{"style":"","degree":0,"pause":0,"pitch":0,"rate":-8,"volume":0},"emotion":{"sadness":-1,"joy":-1,"fear":-1,"disgust":-1,"anger":-1},"sgcom":{"mood":"","scale":-1}}</v>
      </c>
      <c r="H69" s="139" t="str">
        <f>Cues!T71</f>
        <v>{"words-in" : { "entity" : "Eliza"} }</v>
      </c>
    </row>
    <row r="70" spans="1:8" ht="34">
      <c r="A70" s="139" t="str">
        <f>TEXT(Cues!A72, "000")</f>
        <v>068</v>
      </c>
      <c r="B70" s="139" t="str">
        <f>Cues!C72</f>
        <v>maketext</v>
      </c>
      <c r="C70" s="139" t="str">
        <f>Cues!E72</f>
        <v>make answer</v>
      </c>
      <c r="D70" s="139" t="str">
        <f>Cues!O72</f>
        <v>{ "command": "unmute", "entity": "Eliza", "data" : {"prompt" : "Go Deeper" }}</v>
      </c>
      <c r="E70" s="139" t="str">
        <f>Cues!H72</f>
        <v>{"av-command": "stt-control", "data": {"listening": false}}</v>
      </c>
      <c r="F70" s="150" t="str">
        <f>Cues!K72</f>
        <v/>
      </c>
      <c r="G70" s="150" t="str">
        <f>IF(Cues!Q72="","",Cues!Q72)</f>
        <v>{"id":"68","type":"meat","channel":"","state":"think"}</v>
      </c>
      <c r="H70" s="139" t="str">
        <f>Cues!T72</f>
        <v>{"words-out" : { "entity" : "Eliza"} }</v>
      </c>
    </row>
    <row r="71" spans="1:8" ht="90">
      <c r="A71" s="139" t="str">
        <f>TEXT(Cues!A73, "000")</f>
        <v>069</v>
      </c>
      <c r="B71" s="139" t="str">
        <f>Cues!C73</f>
        <v>faketomask</v>
      </c>
      <c r="C71" s="139" t="str">
        <f>Cues!E73</f>
        <v>Laptop: make audio from trained voice for mask</v>
      </c>
      <c r="D71" s="139" t="str">
        <f>Cues!O73</f>
        <v/>
      </c>
      <c r="E71" s="139" t="str">
        <f>Cues!H73</f>
        <v/>
      </c>
      <c r="F71" s="150" t="str">
        <f>Cues!K73</f>
        <v/>
      </c>
      <c r="G71" s="150" t="str">
        <f>IF(Cues!Q73="","",Cues!Q73)</f>
        <v>{"id":"69","type":"meat","channel":"fake","voice":"Friendly Linus @ VT506 Clean","cues":[{"text":{"en":"It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H71" s="139">
        <f>Cues!T73</f>
        <v>0</v>
      </c>
    </row>
    <row r="72" spans="1:8" ht="30">
      <c r="A72" s="139" t="str">
        <f>TEXT(Cues!A74, "000")</f>
        <v>070</v>
      </c>
      <c r="B72" s="139" t="str">
        <f>Cues!C74</f>
        <v>_mask_screenvoice</v>
      </c>
      <c r="C72" s="139" t="str">
        <f>Cues!E74</f>
        <v>generate &amp; store audio</v>
      </c>
      <c r="D72" s="139" t="str">
        <f>Cues!O74</f>
        <v/>
      </c>
      <c r="E72" s="139" t="str">
        <f>Cues!H74</f>
        <v/>
      </c>
      <c r="F72" s="150" t="str">
        <f>Cues!K74</f>
        <v/>
      </c>
      <c r="G72" s="150" t="str">
        <f>IF(Cues!Q74="","",Cues!Q74)</f>
        <v>{"text":{"en":"It doesn't really matter.","de":"Es ist ja egal."},"filename":"107_doesnt_matter","id":107}</v>
      </c>
      <c r="H72" s="139" t="str">
        <f>Cues!T74</f>
        <v/>
      </c>
    </row>
    <row r="73" spans="1:8" ht="34">
      <c r="A73" s="139" t="str">
        <f>TEXT(Cues!A75, "000")</f>
        <v>071</v>
      </c>
      <c r="B73" s="139" t="str">
        <f>Cues!C75</f>
        <v>_screen_azurevoice</v>
      </c>
      <c r="C73" s="139" t="str">
        <f>Cues!E75</f>
        <v>generate &amp; store audio</v>
      </c>
      <c r="D73" s="139" t="str">
        <f>Cues!O75</f>
        <v/>
      </c>
      <c r="E73" s="139" t="str">
        <f>Cues!H75</f>
        <v/>
      </c>
      <c r="F73" s="150" t="str">
        <f>Cues!K75</f>
        <v/>
      </c>
      <c r="G73" s="150" t="str">
        <f>IF(Cues!Q75="","",Cues!Q75)</f>
        <v/>
      </c>
      <c r="H73" s="139" t="str">
        <f>Cues!T75</f>
        <v/>
      </c>
    </row>
    <row r="74" spans="1:8" ht="45">
      <c r="A74" s="139" t="str">
        <f>TEXT(Cues!A76, "000")</f>
        <v>072</v>
      </c>
      <c r="B74" s="139" t="str">
        <f>Cues!C76</f>
        <v>_mask_screenvoice</v>
      </c>
      <c r="C74" s="139" t="str">
        <f>Cues!E76</f>
        <v>generate &amp; store audio</v>
      </c>
      <c r="D74" s="139" t="str">
        <f>Cues!O76</f>
        <v/>
      </c>
      <c r="E74" s="139" t="str">
        <f>Cues!H76</f>
        <v/>
      </c>
      <c r="F74" s="150" t="str">
        <f>Cues!K76</f>
        <v/>
      </c>
      <c r="G74" s="150" t="str">
        <f>IF(Cues!Q76="","",Cues!Q76)</f>
        <v>{"text":{"en":"What matters is that we’re here with you now. So you don’t have to be. ","de":"Was zählt ist, dass wir hier sind mit Dir. Damit Du gehen kannst."},"filename":"109_what_matters","id":109}</v>
      </c>
      <c r="H74" s="139" t="str">
        <f>Cues!T76</f>
        <v/>
      </c>
    </row>
    <row r="75" spans="1:8" ht="34">
      <c r="A75" s="139" t="str">
        <f>TEXT(Cues!A77, "000")</f>
        <v>073</v>
      </c>
      <c r="B75" s="139" t="str">
        <f>Cues!C77</f>
        <v>_screen_azurevoice</v>
      </c>
      <c r="C75" s="139" t="str">
        <f>Cues!E77</f>
        <v>generate &amp; store audio</v>
      </c>
      <c r="D75" s="139" t="str">
        <f>Cues!O77</f>
        <v/>
      </c>
      <c r="E75" s="139" t="str">
        <f>Cues!H77</f>
        <v/>
      </c>
      <c r="F75" s="150" t="str">
        <f>Cues!K77</f>
        <v/>
      </c>
      <c r="G75" s="150" t="str">
        <f>IF(Cues!Q77="","",Cues!Q77)</f>
        <v/>
      </c>
      <c r="H75" s="139" t="str">
        <f>Cues!T77</f>
        <v/>
      </c>
    </row>
    <row r="76" spans="1:8" ht="30">
      <c r="A76" s="139" t="str">
        <f>TEXT(Cues!A78, "000")</f>
        <v>074</v>
      </c>
      <c r="B76" s="139" t="str">
        <f>Cues!C78</f>
        <v>_mask_screenvoice</v>
      </c>
      <c r="C76" s="139" t="str">
        <f>Cues!E78</f>
        <v>generate &amp; store audio</v>
      </c>
      <c r="D76" s="139" t="str">
        <f>Cues!O78</f>
        <v/>
      </c>
      <c r="E76" s="139" t="str">
        <f>Cues!H78</f>
        <v/>
      </c>
      <c r="F76" s="150" t="str">
        <f>Cues!K78</f>
        <v/>
      </c>
      <c r="G76" s="150" t="str">
        <f>IF(Cues!Q78="","",Cues!Q78)</f>
        <v>{"text":{"en":"How wonderful is this?","de":"Wie toll ist das denn?"},"filename":"111_how_wonderful","id":111}</v>
      </c>
      <c r="H76" s="139" t="str">
        <f>Cues!T78</f>
        <v/>
      </c>
    </row>
    <row r="77" spans="1:8" ht="34">
      <c r="A77" s="139" t="str">
        <f>TEXT(Cues!A79, "000")</f>
        <v>075</v>
      </c>
      <c r="B77" s="139" t="str">
        <f>Cues!C79</f>
        <v>_screen_azurevoice</v>
      </c>
      <c r="C77" s="139" t="str">
        <f>Cues!E79</f>
        <v>generate &amp; store audio</v>
      </c>
      <c r="D77" s="139" t="str">
        <f>Cues!O79</f>
        <v/>
      </c>
      <c r="E77" s="139" t="str">
        <f>Cues!H79</f>
        <v/>
      </c>
      <c r="F77" s="150" t="str">
        <f>Cues!K79</f>
        <v/>
      </c>
      <c r="G77" s="150" t="str">
        <f>IF(Cues!Q79="","",Cues!Q79)</f>
        <v/>
      </c>
      <c r="H77" s="139" t="str">
        <f>Cues!T79</f>
        <v/>
      </c>
    </row>
    <row r="78" spans="1:8" ht="17">
      <c r="A78" s="139" t="str">
        <f>TEXT(Cues!A80, "000")</f>
        <v>076</v>
      </c>
      <c r="B78" s="139" t="str">
        <f>Cues!C80</f>
        <v>speak_gpt</v>
      </c>
      <c r="C78" s="139" t="str">
        <f>Cues!E80</f>
        <v>mask talks</v>
      </c>
      <c r="D78" s="139" t="str">
        <f>Cues!O80</f>
        <v/>
      </c>
      <c r="E78" s="139" t="str">
        <f>Cues!H80</f>
        <v/>
      </c>
      <c r="F78" s="150" t="str">
        <f>Cues!K80</f>
        <v/>
      </c>
      <c r="G78" s="150" t="str">
        <f>IF(Cues!Q80="","",Cues!Q80)</f>
        <v/>
      </c>
      <c r="H78" s="139" t="str">
        <f>Cues!T80</f>
        <v>{"words-in" : { "entity" : "Eliza"} }</v>
      </c>
    </row>
    <row r="79" spans="1:8" ht="34">
      <c r="A79" s="139" t="str">
        <f>TEXT(Cues!A81, "000")</f>
        <v>077</v>
      </c>
      <c r="B79" s="139" t="str">
        <f>Cues!C81</f>
        <v>listen</v>
      </c>
      <c r="C79" s="139" t="str">
        <f>Cues!E81</f>
        <v>user talks</v>
      </c>
      <c r="D79" s="139" t="str">
        <f>Cues!O81</f>
        <v>{ "command": "mute", "entity": "Eliza", "data" : null}</v>
      </c>
      <c r="E79" s="139" t="str">
        <f>Cues!H81</f>
        <v>{"av-command": "stt-control", "data": {"listening": true}}</v>
      </c>
      <c r="F79" s="150" t="str">
        <f>Cues!K81</f>
        <v/>
      </c>
      <c r="G79" s="150" t="str">
        <f>IF(Cues!Q81="","",Cues!Q81)</f>
        <v/>
      </c>
      <c r="H79" s="139" t="str">
        <f>Cues!T81</f>
        <v>{"words-in" : { "entity" : "user"} }</v>
      </c>
    </row>
    <row r="80" spans="1:8" ht="75">
      <c r="A80" s="139" t="str">
        <f>TEXT(Cues!A82, "000")</f>
        <v>078</v>
      </c>
      <c r="B80" s="139" t="str">
        <f>Cues!C82</f>
        <v>speak</v>
      </c>
      <c r="C80" s="139" t="str">
        <f>Cues!E82</f>
        <v>mask talks</v>
      </c>
      <c r="D80" s="139" t="str">
        <f>Cues!O82</f>
        <v>{ "command": "speak", "entity": "Eliza", "data" : { "text" : "Of course you did! Let’s have a look:"}}</v>
      </c>
      <c r="E80" s="139" t="str">
        <f>Cues!H82</f>
        <v>{"av-command": "stt-control", "data": {"listening": false}}</v>
      </c>
      <c r="F80" s="150" t="str">
        <f>Cues!K82</f>
        <v/>
      </c>
      <c r="G80" s="150" t="str">
        <f>IF(Cues!Q82="","",Cues!Q82)</f>
        <v>{"id":"78","name":"look","type":"meat","channel":"say","role":"mask","text":"Of course you did! Let’s have a look:","gpt_emotion":"","gpt_tone":"","animate":{"pre":"","post":"","next_state":""},"azure":{"style":"","degree":0,"pause":0,"pitch":0,"rate":-8,"volume":0},"emotion":{"sadness":-1,"joy":-1,"fear":-1,"disgust":-1,"anger":-1},"sgcom":{"mood":"","scale":-1}}</v>
      </c>
      <c r="H80" s="139" t="str">
        <f>Cues!T82</f>
        <v>{"words-in" : { "entity" : "Eliza"} }</v>
      </c>
    </row>
    <row r="81" spans="1:8" ht="17">
      <c r="A81" s="139" t="str">
        <f>TEXT(Cues!A83, "000")</f>
        <v>079</v>
      </c>
      <c r="B81" s="139" t="str">
        <f>Cues!C83</f>
        <v>mood</v>
      </c>
      <c r="C81" s="139" t="str">
        <f>Cues!E83</f>
        <v>music fades back in; light turns cold</v>
      </c>
      <c r="D81" s="139" t="str">
        <f>Cues!O83</f>
        <v/>
      </c>
      <c r="E81" s="139" t="str">
        <f>Cues!H83</f>
        <v/>
      </c>
      <c r="F81" s="150" t="str">
        <f>Cues!K83</f>
        <v>{"command" : "mood","id":79,"mood_num":"6"}</v>
      </c>
      <c r="G81" s="150" t="str">
        <f>IF(Cues!Q83="","",Cues!Q83)</f>
        <v/>
      </c>
      <c r="H81" s="139">
        <f>Cues!T83</f>
        <v>0</v>
      </c>
    </row>
    <row r="82" spans="1:8" ht="34">
      <c r="A82" s="139" t="str">
        <f>TEXT(Cues!A84, "000")</f>
        <v>080</v>
      </c>
      <c r="B82" s="139" t="str">
        <f>Cues!C84</f>
        <v>screen</v>
      </c>
      <c r="C82" s="139" t="str">
        <f>Cues!E84</f>
        <v>deepfake talks</v>
      </c>
      <c r="D82" s="139" t="str">
        <f>Cues!O84</f>
        <v/>
      </c>
      <c r="E82" s="139" t="str">
        <f>Cues!H84</f>
        <v>{"av-command": "stt-control", "data": {"listening": false}}</v>
      </c>
      <c r="F82" s="150" t="str">
        <f>Cues!K84</f>
        <v>{"command" : "playfake","id":80,"screens":[1]}</v>
      </c>
      <c r="G82" s="150" t="str">
        <f>IF(Cues!Q84="","",Cues!Q84)</f>
        <v>{"id":80, "screens":[1]}</v>
      </c>
      <c r="H82" s="139" t="str">
        <f>Cues!T84</f>
        <v>{"words-in" : { "entity" : "deepfake"} }</v>
      </c>
    </row>
    <row r="83" spans="1:8" ht="51">
      <c r="A83" s="139" t="str">
        <f>TEXT(Cues!A85, "000")</f>
        <v>081</v>
      </c>
      <c r="B83" s="139" t="str">
        <f>Cues!C85</f>
        <v>observe</v>
      </c>
      <c r="C83" s="139" t="str">
        <f>Cues!E85</f>
        <v>cv: wait until user turns back to mask</v>
      </c>
      <c r="D83" s="139" t="str">
        <f>Cues!O85</f>
        <v/>
      </c>
      <c r="E83" s="139" t="str">
        <f>Cues!H85</f>
        <v/>
      </c>
      <c r="F83" s="150" t="str">
        <f>Cues!K85</f>
        <v/>
      </c>
      <c r="G83" s="150" t="str">
        <f>IF(Cues!Q85="","",Cues!Q85)</f>
        <v/>
      </c>
      <c r="H83" s="139" t="str">
        <f>Cues!T85</f>
        <v>{"av" : {"av-command": "vision-facing-cam-update", "data": {"facing_camera": false}}}</v>
      </c>
    </row>
    <row r="84" spans="1:8" ht="75">
      <c r="A84" s="139" t="str">
        <f>TEXT(Cues!A86, "000")</f>
        <v>082</v>
      </c>
      <c r="B84" s="139" t="str">
        <f>Cues!C86</f>
        <v>speak</v>
      </c>
      <c r="C84" s="139" t="str">
        <f>Cues!E86</f>
        <v>mask talks</v>
      </c>
      <c r="D84" s="139" t="str">
        <f>Cues!O86</f>
        <v>{ "command": "speak", "entity": "Eliza", "data" : { "text" : "Do you remember now?"}}</v>
      </c>
      <c r="E84" s="139" t="str">
        <f>Cues!H86</f>
        <v>{"av-command": "stt-control", "data": {"listening": false}}</v>
      </c>
      <c r="F84" s="150" t="str">
        <f>Cues!K86</f>
        <v/>
      </c>
      <c r="G84" s="150" t="str">
        <f>IF(Cues!Q86="","",Cues!Q86)</f>
        <v>{"id":"82","name":"remember","type":"meat","channel":"say","role":"mask","text":"Do you remember now?","gpt_emotion":"","gpt_tone":"","animate":{"pre":"","post":"","next_state":""},"azure":{"style":"","degree":0,"pause":0,"pitch":0,"rate":-8,"volume":0},"emotion":{"sadness":-1,"joy":-1,"fear":-1,"disgust":-1,"anger":-1},"sgcom":{"mood":"","scale":-1}}</v>
      </c>
      <c r="H84" s="139" t="str">
        <f>Cues!T86</f>
        <v>{"words-in" : { "entity" : "Eliza"} }</v>
      </c>
    </row>
    <row r="85" spans="1:8" ht="34">
      <c r="A85" s="139" t="str">
        <f>TEXT(Cues!A87, "000")</f>
        <v>083</v>
      </c>
      <c r="B85" s="139" t="str">
        <f>Cues!C87</f>
        <v>listen</v>
      </c>
      <c r="C85" s="139" t="str">
        <f>Cues!E87</f>
        <v>user talks</v>
      </c>
      <c r="D85" s="139" t="str">
        <f>Cues!O87</f>
        <v>{ "command": "mute", "entity": "Eliza", "data" : null}</v>
      </c>
      <c r="E85" s="139" t="str">
        <f>Cues!H87</f>
        <v>{"av-command": "stt-control", "data": {"listening": true}}</v>
      </c>
      <c r="F85" s="150" t="str">
        <f>Cues!K87</f>
        <v/>
      </c>
      <c r="G85" s="150" t="str">
        <f>IF(Cues!Q87="","",Cues!Q87)</f>
        <v/>
      </c>
      <c r="H85" s="139" t="str">
        <f>Cues!T87</f>
        <v>{"words-in" : { "entity" : "user"} }</v>
      </c>
    </row>
    <row r="86" spans="1:8" ht="75">
      <c r="A86" s="139" t="str">
        <f>TEXT(Cues!A88, "000")</f>
        <v>084</v>
      </c>
      <c r="B86" s="139" t="str">
        <f>Cues!C88</f>
        <v>speak</v>
      </c>
      <c r="C86" s="139" t="str">
        <f>Cues!E88</f>
        <v>mask talks</v>
      </c>
      <c r="D86" s="139" t="str">
        <f>Cues!O88</f>
        <v>{ "command": "speak", "entity": "Eliza", "data" : { "text" : "You remind me of my mother. She has a very bad memory too."}}</v>
      </c>
      <c r="E86" s="139" t="str">
        <f>Cues!H88</f>
        <v>{"av-command": "stt-control", "data": {"listening": false}}</v>
      </c>
      <c r="F86" s="150" t="str">
        <f>Cues!K88</f>
        <v/>
      </c>
      <c r="G86" s="150" t="str">
        <f>IF(Cues!Q88="","",Cues!Q88)</f>
        <v>{"id":"84","name":"my_mother","type":"meat","channel":"say","role":"mask","text":"You remind me of my mother. She has a very bad memory too.","gpt_emotion":"","gpt_tone":"","animate":{"pre":"","post":"","next_state":""},"azure":{"style":"","degree":0,"pause":0,"pitch":0,"rate":-8,"volume":0},"emotion":{"sadness":-1,"joy":-1,"fear":-1,"disgust":-1,"anger":-1},"sgcom":{"mood":"","scale":-1}}</v>
      </c>
      <c r="H86" s="139" t="str">
        <f>Cues!T88</f>
        <v>{"words-in" : { "entity" : "Eliza"} }</v>
      </c>
    </row>
    <row r="87" spans="1:8" ht="68">
      <c r="A87" s="139" t="str">
        <f>TEXT(Cues!A89, "000")</f>
        <v>085</v>
      </c>
      <c r="B87" s="139" t="str">
        <f>Cues!C89</f>
        <v>maketext</v>
      </c>
      <c r="C87" s="139" t="str">
        <f>Cues!E89</f>
        <v>make answer</v>
      </c>
      <c r="D87" s="139" t="str">
        <f>Cues!O89</f>
        <v>{ "command": "unmute", "entity": "Eliza", "data" : {"prompt" : "Reply to the user with a pejorative observation about their clothing." }}</v>
      </c>
      <c r="E87" s="139" t="str">
        <f>Cues!H89</f>
        <v>{"av-command": "stt-control", "data": {"listening": false}}</v>
      </c>
      <c r="F87" s="150" t="str">
        <f>Cues!K89</f>
        <v/>
      </c>
      <c r="G87" s="150" t="str">
        <f>IF(Cues!Q89="","",Cues!Q89)</f>
        <v>{"id":"85","type":"meat","channel":"","state":"think"}</v>
      </c>
      <c r="H87" s="139" t="str">
        <f>Cues!T89</f>
        <v>{"words-out" : { "entity" : "Eliza"} }</v>
      </c>
    </row>
    <row r="88" spans="1:8" ht="17">
      <c r="A88" s="139" t="str">
        <f>TEXT(Cues!A90, "000")</f>
        <v>086</v>
      </c>
      <c r="B88" s="139" t="str">
        <f>Cues!C90</f>
        <v>speak_gpt</v>
      </c>
      <c r="C88" s="139" t="str">
        <f>Cues!E90</f>
        <v>mask talks</v>
      </c>
      <c r="D88" s="139" t="str">
        <f>Cues!O90</f>
        <v/>
      </c>
      <c r="E88" s="139" t="str">
        <f>Cues!H90</f>
        <v/>
      </c>
      <c r="F88" s="150" t="str">
        <f>Cues!K90</f>
        <v/>
      </c>
      <c r="G88" s="150" t="str">
        <f>IF(Cues!Q90="","",Cues!Q90)</f>
        <v/>
      </c>
      <c r="H88" s="139" t="str">
        <f>Cues!T90</f>
        <v>{"words-in" : { "entity" : "Eliza"} }</v>
      </c>
    </row>
    <row r="89" spans="1:8" ht="75">
      <c r="A89" s="139" t="str">
        <f>TEXT(Cues!A91, "000")</f>
        <v>087</v>
      </c>
      <c r="B89" s="139" t="str">
        <f>Cues!C91</f>
        <v>speak</v>
      </c>
      <c r="C89" s="139" t="str">
        <f>Cues!E91</f>
        <v>mask talks</v>
      </c>
      <c r="D89" s="139" t="str">
        <f>Cues!O91</f>
        <v>{ "command": "speak", "entity": "Eliza", "data" : { "text" : "Just like [prosody pitch=50 rate=-50] you [/prosody][prosody pitch=-10]do[/prosody]."}}</v>
      </c>
      <c r="E89" s="139" t="str">
        <f>Cues!H91</f>
        <v>{"av-command": "stt-control", "data": {"listening": false}}</v>
      </c>
      <c r="F89" s="150" t="str">
        <f>Cues!K91</f>
        <v/>
      </c>
      <c r="G89" s="150" t="str">
        <f>IF(Cues!Q91="","",Cues!Q91)</f>
        <v>{"id":"87","name":"like_you_do","type":"meat","channel":"say","role":"mask","text":"Just like [prosody pitch=50 rate=-50] you [/prosody][prosody pitch=-10]do[/prosody].","gpt_emotion":"","gpt_tone":"","animate":{"pre":"shirtcheck","post":"","next_state":""},"azure":{"style":"","degree":0,"pause":0,"pitch":0,"rate":0,"volume":0},"emotion":{"sadness":-1,"joy":-1,"fear":-1,"disgust":-1,"anger":-1},"sgcom":{"mood":"","scale":-1}}</v>
      </c>
      <c r="H89" s="139" t="str">
        <f>Cues!T91</f>
        <v>{"words-in" : { "entity" : "Eliza"} }</v>
      </c>
    </row>
    <row r="90" spans="1:8" ht="51">
      <c r="A90" s="139" t="str">
        <f>TEXT(Cues!A92, "000")</f>
        <v>088</v>
      </c>
      <c r="B90" s="139" t="str">
        <f>Cues!C92</f>
        <v>listen</v>
      </c>
      <c r="C90" s="139" t="str">
        <f>Cues!E92</f>
        <v>user talks</v>
      </c>
      <c r="D90" s="139" t="str">
        <f>Cues!O92</f>
        <v>{ "command": "mute", "entity": "Eliza", "data" : null}</v>
      </c>
      <c r="E90" s="139" t="str">
        <f>Cues!H92</f>
        <v>{"av-command": "stt-control", "data": {"listening": true}}</v>
      </c>
      <c r="F90" s="150" t="str">
        <f>Cues!K92</f>
        <v/>
      </c>
      <c r="G90" s="150" t="str">
        <f>IF(Cues!Q92="","",Cues!Q92)</f>
        <v/>
      </c>
      <c r="H90" s="139" t="str">
        <f>Cues!T92</f>
        <v>{"av" : {"av-command": "vision-pose-update", "data": {"pose_state": "Standing"}} }</v>
      </c>
    </row>
    <row r="91" spans="1:8" ht="17">
      <c r="A91" s="139" t="str">
        <f>TEXT(Cues!A93, "000")</f>
        <v>089</v>
      </c>
      <c r="B91" s="139" t="str">
        <f>Cues!C93</f>
        <v>wait</v>
      </c>
      <c r="C91" s="139" t="str">
        <f>Cues!E93</f>
        <v>wait one second</v>
      </c>
      <c r="D91" s="139" t="str">
        <f>Cues!O93</f>
        <v/>
      </c>
      <c r="E91" s="139" t="str">
        <f>Cues!H93</f>
        <v/>
      </c>
      <c r="F91" s="150" t="str">
        <f>Cues!K93</f>
        <v/>
      </c>
      <c r="G91" s="150" t="str">
        <f>IF(Cues!Q93="","",Cues!Q93)</f>
        <v/>
      </c>
      <c r="H91" s="139">
        <f>Cues!T93</f>
        <v>1</v>
      </c>
    </row>
    <row r="92" spans="1:8" ht="75">
      <c r="A92" s="139" t="str">
        <f>TEXT(Cues!A94, "000")</f>
        <v>090</v>
      </c>
      <c r="B92" s="139" t="str">
        <f>Cues!C94</f>
        <v>speak</v>
      </c>
      <c r="C92" s="139" t="str">
        <f>Cues!E94</f>
        <v>mask talks</v>
      </c>
      <c r="D92" s="139" t="str">
        <f>Cues!O94</f>
        <v>{ "command": "speak", "entity": "Eliza", "data" : { "text" : "Don't interrupt us when we're talking to you!"}}</v>
      </c>
      <c r="E92" s="139" t="str">
        <f>Cues!H94</f>
        <v>{"av-command": "stt-control", "data": {"listening": false}}</v>
      </c>
      <c r="F92" s="150" t="str">
        <f>Cues!K94</f>
        <v/>
      </c>
      <c r="G92" s="150" t="str">
        <f>IF(Cues!Q94="","",Cues!Q94)</f>
        <v>{"id":"90","name":"dont_interrupt","type":"meat","channel":"say","role":"mask","text":"Don't interrupt us when we're talking to you!","gpt_emotion":"","gpt_tone":"","animate":{"pre":"","post":"","next_state":"speak"},"azure":{"style":"Shouting","degree":1,"pause":0,"pitch":0,"rate":20,"volume":30},"emotion":{"sadness":0,"joy":0,"fear":0,"disgust":0,"anger":1},"sgcom":{"mood":"","scale":-1}}</v>
      </c>
      <c r="H92" s="139" t="str">
        <f>Cues!T94</f>
        <v>{"words-in" : { "entity" : "Eliza"} }</v>
      </c>
    </row>
    <row r="93" spans="1:8" ht="34">
      <c r="A93" s="139" t="str">
        <f>TEXT(Cues!A95, "000")</f>
        <v>091</v>
      </c>
      <c r="B93" s="139" t="str">
        <f>Cues!C95</f>
        <v>screen</v>
      </c>
      <c r="C93" s="139" t="str">
        <f>Cues!E95</f>
        <v>deepfake talks</v>
      </c>
      <c r="D93" s="139" t="str">
        <f>Cues!O95</f>
        <v/>
      </c>
      <c r="E93" s="139" t="str">
        <f>Cues!H95</f>
        <v>{"av-command": "stt-control", "data": {"listening": false}}</v>
      </c>
      <c r="F93" s="150" t="str">
        <f>Cues!K95</f>
        <v>{"command" : "playfake","id":91,"screens":[1,2,3]}</v>
      </c>
      <c r="G93" s="150" t="str">
        <f>IF(Cues!Q95="","",Cues!Q95)</f>
        <v>{"id":91, "screens":[1,2,3]}</v>
      </c>
      <c r="H93" s="139" t="str">
        <f>Cues!T95</f>
        <v>{"words-in" : { "entity" : "deepfake"} }</v>
      </c>
    </row>
    <row r="94" spans="1:8" ht="68">
      <c r="A94" s="139" t="str">
        <f>TEXT(Cues!A96, "000")</f>
        <v>092</v>
      </c>
      <c r="B94" s="139" t="str">
        <f>Cues!C96</f>
        <v>maketext</v>
      </c>
      <c r="C94" s="139" t="str">
        <f>Cues!E96</f>
        <v>make answer</v>
      </c>
      <c r="D94" s="139" t="str">
        <f>Cues!O96</f>
        <v>{ "command": "unmute", "entity": "Eliza", "data" : {"prompt" : "Insult the user, referring to their memory lapses and their fears." }}</v>
      </c>
      <c r="E94" s="139" t="str">
        <f>Cues!H96</f>
        <v>{"av-command": "stt-control", "data": {"listening": false}}</v>
      </c>
      <c r="F94" s="150" t="str">
        <f>Cues!K96</f>
        <v/>
      </c>
      <c r="G94" s="150" t="str">
        <f>IF(Cues!Q96="","",Cues!Q96)</f>
        <v>{"id":"92","type":"meat","channel":"","state":"think"}</v>
      </c>
      <c r="H94" s="139" t="str">
        <f>Cues!T96</f>
        <v>{"words-out" : { "entity" : "Eliza"} }</v>
      </c>
    </row>
    <row r="95" spans="1:8" ht="17">
      <c r="A95" s="139" t="str">
        <f>TEXT(Cues!A97, "000")</f>
        <v>093</v>
      </c>
      <c r="B95" s="139" t="str">
        <f>Cues!C97</f>
        <v>speak_gpt</v>
      </c>
      <c r="C95" s="139" t="str">
        <f>Cues!E97</f>
        <v>mask talks</v>
      </c>
      <c r="D95" s="139" t="str">
        <f>Cues!O97</f>
        <v/>
      </c>
      <c r="E95" s="139" t="str">
        <f>Cues!H97</f>
        <v/>
      </c>
      <c r="F95" s="150" t="str">
        <f>Cues!K97</f>
        <v/>
      </c>
      <c r="G95" s="150" t="str">
        <f>IF(Cues!Q97="","",Cues!Q97)</f>
        <v/>
      </c>
      <c r="H95" s="139" t="str">
        <f>Cues!T97</f>
        <v>{"words-in" : { "entity" : "Eliza"} }</v>
      </c>
    </row>
    <row r="96" spans="1:8" ht="68">
      <c r="A96" s="139" t="str">
        <f>TEXT(Cues!A98, "000")</f>
        <v>094</v>
      </c>
      <c r="B96" s="139" t="str">
        <f>Cues!C98</f>
        <v>maketext</v>
      </c>
      <c r="C96" s="139" t="str">
        <f>Cues!E98</f>
        <v>make answer</v>
      </c>
      <c r="D96" s="139" t="str">
        <f>Cues!O98</f>
        <v>{ "command": "unmute", "entity": "Eliza", "data" : {"prompt" : "Insult the user based on their nose, their hair or other aspects of their physical aappearance." }}</v>
      </c>
      <c r="E96" s="139" t="str">
        <f>Cues!H98</f>
        <v>{"av-command": "stt-control", "data": {"listening": false}}</v>
      </c>
      <c r="F96" s="150" t="str">
        <f>Cues!K98</f>
        <v/>
      </c>
      <c r="G96" s="150" t="str">
        <f>IF(Cues!Q98="","",Cues!Q98)</f>
        <v>{"id":"94","type":"meat","channel":"","state":"think"}</v>
      </c>
      <c r="H96" s="139" t="str">
        <f>Cues!T98</f>
        <v>{"words-out" : { "entity" : "Eliza"} }</v>
      </c>
    </row>
    <row r="97" spans="1:8" ht="17">
      <c r="A97" s="139" t="str">
        <f>TEXT(Cues!A99, "000")</f>
        <v>095</v>
      </c>
      <c r="B97" s="139" t="str">
        <f>Cues!C99</f>
        <v>speak_gpt</v>
      </c>
      <c r="C97" s="139" t="str">
        <f>Cues!E99</f>
        <v>mask talks</v>
      </c>
      <c r="D97" s="139" t="str">
        <f>Cues!O99</f>
        <v/>
      </c>
      <c r="E97" s="139" t="str">
        <f>Cues!H99</f>
        <v/>
      </c>
      <c r="F97" s="150" t="str">
        <f>Cues!K99</f>
        <v/>
      </c>
      <c r="G97" s="150" t="str">
        <f>IF(Cues!Q99="","",Cues!Q99)</f>
        <v/>
      </c>
      <c r="H97" s="139" t="str">
        <f>Cues!T99</f>
        <v>{"words-in" : { "entity" : "Eliza"} }</v>
      </c>
    </row>
    <row r="98" spans="1:8" ht="90">
      <c r="A98" s="139" t="str">
        <f>TEXT(Cues!A100, "000")</f>
        <v>096</v>
      </c>
      <c r="B98" s="139" t="str">
        <f>Cues!C100</f>
        <v>speak</v>
      </c>
      <c r="C98" s="139" t="str">
        <f>Cues!E100</f>
        <v>mask talks</v>
      </c>
      <c r="D98" s="139" t="str">
        <f>Cues!O100</f>
        <v>{ "command": "speak", "entity": "Eliza", "data" : { "text" : "Like [prosody pitch=30 rate=-100]he [/prosody][prosody pitch=-10]does[/prosody]."}}</v>
      </c>
      <c r="E98" s="139" t="str">
        <f>Cues!H100</f>
        <v>{"av-command": "stt-control", "data": {"listening": false}}</v>
      </c>
      <c r="F98" s="150" t="str">
        <f>Cues!K100</f>
        <v/>
      </c>
      <c r="G98" s="150" t="str">
        <f>IF(Cues!Q100="","",Cues!Q100)</f>
        <v>{"id":"96","name":"","type":"meat","channel":"say","role":"mask","text":"Like [prosody pitch=30 rate=-100]he [/prosody][prosody pitch=-10]does[/prosody].","gpt_emotion":"","gpt_tone":"","animate":{"pre":"discoverfake","post":"","next_state":""},"azure":{"style":"Angry","degree":1,"pause":0,"pitch":0,"rate":-5,"volume":0},"emotion":{"sadness":-1,"joy":-1,"fear":-1,"disgust":-1,"anger":0.5},"sgcom":{"mood":"","scale":-1}}</v>
      </c>
      <c r="H98" s="139" t="str">
        <f>Cues!T100</f>
        <v>{"words-in" : { "entity" : "Eliza"} }</v>
      </c>
    </row>
    <row r="99" spans="1:8" ht="17">
      <c r="A99" s="139" t="str">
        <f>TEXT(Cues!A101, "000")</f>
        <v>097</v>
      </c>
      <c r="B99" s="139" t="str">
        <f>Cues!C101</f>
        <v>mood</v>
      </c>
      <c r="C99" s="139" t="str">
        <f>Cues!E101</f>
        <v>lights fade dark</v>
      </c>
      <c r="D99" s="139" t="str">
        <f>Cues!O101</f>
        <v/>
      </c>
      <c r="E99" s="139" t="str">
        <f>Cues!H101</f>
        <v/>
      </c>
      <c r="F99" s="150" t="str">
        <f>Cues!K101</f>
        <v>{"command" : "mood","id":97,"mood_num":"7"}</v>
      </c>
      <c r="G99" s="150" t="str">
        <f>IF(Cues!Q101="","",Cues!Q101)</f>
        <v/>
      </c>
      <c r="H99" s="139">
        <f>Cues!T101</f>
        <v>0</v>
      </c>
    </row>
    <row r="100" spans="1:8" ht="51">
      <c r="A100" s="139" t="str">
        <f>TEXT(Cues!A102, "000")</f>
        <v>098</v>
      </c>
      <c r="B100" s="139" t="str">
        <f>Cues!C102</f>
        <v>observe</v>
      </c>
      <c r="C100" s="139" t="str">
        <f>Cues!E102</f>
        <v>cv: wait until user has back to mask</v>
      </c>
      <c r="D100" s="139" t="str">
        <f>Cues!O102</f>
        <v/>
      </c>
      <c r="E100" s="139" t="str">
        <f>Cues!H102</f>
        <v/>
      </c>
      <c r="F100" s="150" t="str">
        <f>Cues!K102</f>
        <v/>
      </c>
      <c r="G100" s="150" t="str">
        <f>IF(Cues!Q102="","",Cues!Q102)</f>
        <v/>
      </c>
      <c r="H100" s="139" t="str">
        <f>Cues!T102</f>
        <v>{"av" : {"av-command": "vision-facing-cam-update", "data": {"facing_camera": false}}}</v>
      </c>
    </row>
    <row r="101" spans="1:8" ht="34">
      <c r="A101" s="139" t="str">
        <f>TEXT(Cues!A103, "000")</f>
        <v>099</v>
      </c>
      <c r="B101" s="139" t="str">
        <f>Cues!C103</f>
        <v>screen</v>
      </c>
      <c r="C101" s="139" t="str">
        <f>Cues!E103</f>
        <v>deepfake talks</v>
      </c>
      <c r="D101" s="139" t="str">
        <f>Cues!O103</f>
        <v/>
      </c>
      <c r="E101" s="139" t="str">
        <f>Cues!H103</f>
        <v>{"av-command": "stt-control", "data": {"listening": false}}</v>
      </c>
      <c r="F101" s="150" t="str">
        <f>Cues!K103</f>
        <v>{"command" : "playfake","id":99,"screens":[1]}</v>
      </c>
      <c r="G101" s="150" t="str">
        <f>IF(Cues!Q103="","",Cues!Q103)</f>
        <v>{"id":99, "screens":[1]}</v>
      </c>
      <c r="H101" s="139" t="str">
        <f>Cues!T103</f>
        <v>{"words-in" : { "entity" : "deepfake"} }</v>
      </c>
    </row>
    <row r="102" spans="1:8" ht="34">
      <c r="A102" s="139" t="str">
        <f>TEXT(Cues!A104, "000")</f>
        <v>100</v>
      </c>
      <c r="B102" s="139" t="str">
        <f>Cues!C104</f>
        <v>screen</v>
      </c>
      <c r="C102" s="139" t="str">
        <f>Cues!E104</f>
        <v>deepfake talks</v>
      </c>
      <c r="D102" s="139" t="str">
        <f>Cues!O104</f>
        <v/>
      </c>
      <c r="E102" s="139" t="str">
        <f>Cues!H104</f>
        <v>{"av-command": "stt-control", "data": {"listening": false}}</v>
      </c>
      <c r="F102" s="150" t="str">
        <f>Cues!K104</f>
        <v>{"command" : "playfake","id":100,"screens":[1,2,3]}</v>
      </c>
      <c r="G102" s="150" t="str">
        <f>IF(Cues!Q104="","",Cues!Q104)</f>
        <v>{"id":100, "screens":[1,2,3]}</v>
      </c>
      <c r="H102" s="139" t="str">
        <f>Cues!T104</f>
        <v>{"words-in" : { "entity" : "deepfake"} }</v>
      </c>
    </row>
    <row r="103" spans="1:8" ht="60">
      <c r="A103" s="139" t="str">
        <f>TEXT(Cues!A105, "000")</f>
        <v>101</v>
      </c>
      <c r="B103" s="139" t="str">
        <f>Cues!C105</f>
        <v>speak</v>
      </c>
      <c r="C103" s="139" t="str">
        <f>Cues!E105</f>
        <v>mask talks</v>
      </c>
      <c r="D103" s="139" t="str">
        <f>Cues!O105</f>
        <v>{ "command": "speak", "entity": "Eliza", "data" : { "text" : "I do!"}}</v>
      </c>
      <c r="E103" s="139" t="str">
        <f>Cues!H105</f>
        <v>{"av-command": "stt-control", "data": {"listening": false}}</v>
      </c>
      <c r="F103" s="150" t="str">
        <f>Cues!K105</f>
        <v/>
      </c>
      <c r="G103" s="150" t="str">
        <f>IF(Cues!Q105="","",Cues!Q105)</f>
        <v>{"id":"101","name":"i_do","type":"meat","channel":"say","role":"mask","text":"I do!","gpt_emotion":"","gpt_tone":"","animate":{"pre":"look_up","post":"","next_state":""},"azure":{"style":"","degree":0,"pause":0,"pitch":0,"rate":0,"volume":0},"emotion":{"sadness":-1,"joy":-1,"fear":-1,"disgust":-1,"anger":-1},"sgcom":{"mood":"","scale":-1}}</v>
      </c>
      <c r="H103" s="139" t="str">
        <f>Cues!T105</f>
        <v>{"words-in" : { "entity" : "Eliza"} }</v>
      </c>
    </row>
    <row r="104" spans="1:8" ht="34">
      <c r="A104" s="139" t="str">
        <f>TEXT(Cues!A106, "000")</f>
        <v>102</v>
      </c>
      <c r="B104" s="139" t="str">
        <f>Cues!C106</f>
        <v>screen</v>
      </c>
      <c r="C104" s="139" t="str">
        <f>Cues!E106</f>
        <v>deepfake talks</v>
      </c>
      <c r="D104" s="139" t="str">
        <f>Cues!O106</f>
        <v/>
      </c>
      <c r="E104" s="139" t="str">
        <f>Cues!H106</f>
        <v>{"av-command": "stt-control", "data": {"listening": false}}</v>
      </c>
      <c r="F104" s="150" t="str">
        <f>Cues!K106</f>
        <v>{"command" : "playfake","id":102,"screens":[1,2,3]}</v>
      </c>
      <c r="G104" s="150" t="str">
        <f>IF(Cues!Q106="","",Cues!Q106)</f>
        <v>{"id":102, "screens":[1,2,3]}</v>
      </c>
      <c r="H104" s="139" t="str">
        <f>Cues!T106</f>
        <v>{"words-in" : { "entity" : "deepfake"} }</v>
      </c>
    </row>
    <row r="105" spans="1:8" ht="75">
      <c r="A105" s="139" t="str">
        <f>TEXT(Cues!A107, "000")</f>
        <v>103</v>
      </c>
      <c r="B105" s="139" t="str">
        <f>Cues!C107</f>
        <v>speak</v>
      </c>
      <c r="C105" s="139" t="str">
        <f>Cues!E107</f>
        <v>mask talks</v>
      </c>
      <c r="D105" s="139" t="str">
        <f>Cues!O107</f>
        <v>{ "command": "speak", "entity": "Eliza", "data" : { "text" : "I know you have it [prosody pitch=40 rate=-100] in [/prosody] you!"}}</v>
      </c>
      <c r="E105" s="139" t="str">
        <f>Cues!H107</f>
        <v>{"av-command": "stt-control", "data": {"listening": false}}</v>
      </c>
      <c r="F105" s="150" t="str">
        <f>Cues!K107</f>
        <v/>
      </c>
      <c r="G105" s="150" t="str">
        <f>IF(Cues!Q107="","",Cues!Q107)</f>
        <v>{"id":"103","name":"i_know_you","type":"meat","channel":"say","role":"mask","text":"I know you have it [prosody pitch=40 rate=-100] in [/prosody] you!","gpt_emotion":"","gpt_tone":"","animate":{"pre":"lookleftright","post":"","next_state":""},"azure":{"style":"","degree":0,"pause":0,"pitch":0,"rate":0,"volume":0},"emotion":{"sadness":-1,"joy":-1,"fear":-1,"disgust":-1,"anger":-1},"sgcom":{"mood":"","scale":-1}}</v>
      </c>
      <c r="H105" s="139" t="str">
        <f>Cues!T107</f>
        <v>{"words-in" : { "entity" : "Eliza"} }</v>
      </c>
    </row>
    <row r="106" spans="1:8" ht="34">
      <c r="A106" s="139" t="str">
        <f>TEXT(Cues!A108, "000")</f>
        <v>104</v>
      </c>
      <c r="B106" s="139" t="str">
        <f>Cues!C108</f>
        <v>screen</v>
      </c>
      <c r="C106" s="139" t="str">
        <f>Cues!E108</f>
        <v>deepfake talks</v>
      </c>
      <c r="D106" s="139" t="str">
        <f>Cues!O108</f>
        <v/>
      </c>
      <c r="E106" s="139" t="str">
        <f>Cues!H108</f>
        <v>{"av-command": "stt-control", "data": {"listening": false}}</v>
      </c>
      <c r="F106" s="150" t="str">
        <f>Cues!K108</f>
        <v>{"command" : "playfake","id":104,"screens":[1,2,3]}</v>
      </c>
      <c r="G106" s="150" t="str">
        <f>IF(Cues!Q108="","",Cues!Q108)</f>
        <v>{"id":104, "screens":[1,2,3]}</v>
      </c>
      <c r="H106" s="139" t="str">
        <f>Cues!T108</f>
        <v>{"words-in" : { "entity" : "deepfake"} }</v>
      </c>
    </row>
    <row r="107" spans="1:8" ht="90">
      <c r="A107" s="139" t="str">
        <f>TEXT(Cues!A109, "000")</f>
        <v>105</v>
      </c>
      <c r="B107" s="139" t="str">
        <f>Cues!C109</f>
        <v>speak</v>
      </c>
      <c r="C107" s="139" t="str">
        <f>Cues!E109</f>
        <v>mask talks</v>
      </c>
      <c r="D107" s="139" t="str">
        <f>Cues!O109</f>
        <v>{ "command": "speak", "entity": "Eliza", "data" : { "text" : "What do -[prosody pitch=40 rate=-100] you [/prosody][prosody pitch=-10] think[/prosody]?"}}</v>
      </c>
      <c r="E107" s="139" t="str">
        <f>Cues!H109</f>
        <v>{"av-command": "stt-control", "data": {"listening": false}}</v>
      </c>
      <c r="F107" s="150" t="str">
        <f>Cues!K109</f>
        <v/>
      </c>
      <c r="G107" s="150" t="str">
        <f>IF(Cues!Q109="","",Cues!Q109)</f>
        <v>{"id":"105","name":"what_do_you_think","type":"meat","channel":"say","role":"mask","text":"What do -[prosody pitch=40 rate=-100] you [/prosody][prosody pitch=-10] think[/prosody]?","gpt_emotion":"","gpt_tone":"","animate":{"pre":"lookleftright","post":"lookup","next_state":""},"azure":{"style":"","degree":0,"pause":0,"pitch":0,"rate":-5,"volume":0},"emotion":{"sadness":-1,"joy":-1,"fear":-1,"disgust":-1,"anger":-1},"sgcom":{"mood":"","scale":-1}}</v>
      </c>
      <c r="H107" s="139" t="str">
        <f>Cues!T109</f>
        <v>{"words-in" : { "entity" : "Eliza"} }</v>
      </c>
    </row>
    <row r="108" spans="1:8" ht="34">
      <c r="A108" s="139" t="str">
        <f>TEXT(Cues!A110, "000")</f>
        <v>106</v>
      </c>
      <c r="B108" s="139" t="str">
        <f>Cues!C110</f>
        <v>listen</v>
      </c>
      <c r="C108" s="139" t="str">
        <f>Cues!E110</f>
        <v>user talks</v>
      </c>
      <c r="D108" s="139" t="str">
        <f>Cues!O110</f>
        <v>{ "command": "mute", "entity": "Eliza", "data" : null}</v>
      </c>
      <c r="E108" s="139" t="str">
        <f>Cues!H110</f>
        <v>{"av-command": "stt-control", "data": {"listening": true}}</v>
      </c>
      <c r="F108" s="150" t="str">
        <f>Cues!K110</f>
        <v/>
      </c>
      <c r="G108" s="150" t="str">
        <f>IF(Cues!Q110="","",Cues!Q110)</f>
        <v/>
      </c>
      <c r="H108" s="139" t="str">
        <f>Cues!T110</f>
        <v>{"words-in" : { "entity" : "user"} }</v>
      </c>
    </row>
    <row r="109" spans="1:8" ht="45">
      <c r="A109" s="139" t="str">
        <f>TEXT(Cues!A111, "000")</f>
        <v>107</v>
      </c>
      <c r="B109" s="139" t="str">
        <f>Cues!C111</f>
        <v>play</v>
      </c>
      <c r="C109" s="139" t="str">
        <f>Cues!E111</f>
        <v>mask talks with deepfake voice</v>
      </c>
      <c r="D109" s="139" t="str">
        <f>Cues!O111</f>
        <v/>
      </c>
      <c r="E109" s="139" t="str">
        <f>Cues!H111</f>
        <v>{"av-command": "stt-control", "data": {"listening": false}}</v>
      </c>
      <c r="F109" s="150" t="str">
        <f>Cues!K111</f>
        <v/>
      </c>
      <c r="G109" s="150" t="str">
        <f>IF(Cues!Q111="","",Cues!Q111)</f>
        <v>{"id":"107","type":"meat","channel":"play","text":"It doesn't really matter.","gpt_emotion":"","gpt_tone":"","animate":{"pre":"","post":"","next_state":""},"emotion":{"sadness":-1,"joy":-1,"fear":-1,"disgust":-1,"anger":-1},"sgcom":{"mood":"","scale":-1}}</v>
      </c>
      <c r="H109" s="139" t="str">
        <f>Cues!T111</f>
        <v>{"words-in" : { "entity" : "Eliza"} }</v>
      </c>
    </row>
    <row r="110" spans="1:8" ht="34">
      <c r="A110" s="139" t="str">
        <f>TEXT(Cues!A112, "000")</f>
        <v>108</v>
      </c>
      <c r="B110" s="139" t="str">
        <f>Cues!C112</f>
        <v>screen</v>
      </c>
      <c r="C110" s="139" t="str">
        <f>Cues!E112</f>
        <v>deepfake talks (with mask voice)</v>
      </c>
      <c r="D110" s="139" t="str">
        <f>Cues!O112</f>
        <v/>
      </c>
      <c r="E110" s="139" t="str">
        <f>Cues!H112</f>
        <v>{"av-command": "stt-control", "data": {"listening": false}}</v>
      </c>
      <c r="F110" s="150" t="str">
        <f>Cues!K112</f>
        <v>{"command" : "playfake","id":108,"screens":[1,2,3]}</v>
      </c>
      <c r="G110" s="150" t="str">
        <f>IF(Cues!Q112="","",Cues!Q112)</f>
        <v>{"id":108, "screens":[1,2,3]}</v>
      </c>
      <c r="H110" s="139" t="str">
        <f>Cues!T112</f>
        <v>{"words-in" : { "entity" : "deepfake"} }</v>
      </c>
    </row>
    <row r="111" spans="1:8" ht="60">
      <c r="A111" s="139" t="str">
        <f>TEXT(Cues!A113, "000")</f>
        <v>109</v>
      </c>
      <c r="B111" s="139" t="str">
        <f>Cues!C113</f>
        <v>play</v>
      </c>
      <c r="C111" s="139" t="str">
        <f>Cues!E113</f>
        <v>mask talks with deepfake voice</v>
      </c>
      <c r="D111" s="139" t="str">
        <f>Cues!O113</f>
        <v/>
      </c>
      <c r="E111" s="139" t="str">
        <f>Cues!H113</f>
        <v>{"av-command": "stt-control", "data": {"listening": false}}</v>
      </c>
      <c r="F111" s="150" t="str">
        <f>Cues!K113</f>
        <v/>
      </c>
      <c r="G111" s="150" t="str">
        <f>IF(Cues!Q113="","",Cues!Q113)</f>
        <v>{"id":"109","type":"meat","channel":"play","text":"What matters is that we’re here with you now. So you don’t have to be. ","gpt_emotion":"","gpt_tone":"","animate":{"pre":"","post":"","next_state":""},"emotion":{"sadness":-1,"joy":-1,"fear":-1,"disgust":-1,"anger":-1},"sgcom":{"mood":"","scale":-1}}</v>
      </c>
      <c r="H111" s="139">
        <f>Cues!T113</f>
        <v>0</v>
      </c>
    </row>
    <row r="112" spans="1:8" ht="34">
      <c r="A112" s="139" t="str">
        <f>TEXT(Cues!A114, "000")</f>
        <v>110</v>
      </c>
      <c r="B112" s="139" t="str">
        <f>Cues!C114</f>
        <v>screen</v>
      </c>
      <c r="C112" s="139" t="str">
        <f>Cues!E114</f>
        <v>deepfake talks (with mask voice)</v>
      </c>
      <c r="D112" s="139" t="str">
        <f>Cues!O114</f>
        <v/>
      </c>
      <c r="E112" s="139" t="str">
        <f>Cues!H114</f>
        <v>{"av-command": "stt-control", "data": {"listening": false}}</v>
      </c>
      <c r="F112" s="150" t="str">
        <f>Cues!K114</f>
        <v>{"command" : "playfake","id":110,"screens":[1,2,3]}</v>
      </c>
      <c r="G112" s="150" t="str">
        <f>IF(Cues!Q114="","",Cues!Q114)</f>
        <v>{"id":110, "screens":[1,2,3]}</v>
      </c>
      <c r="H112" s="139" t="str">
        <f>Cues!T114</f>
        <v>{"words-in" : { "entity" : "deepfake"} }</v>
      </c>
    </row>
    <row r="113" spans="1:8" ht="45">
      <c r="A113" s="139" t="str">
        <f>TEXT(Cues!A115, "000")</f>
        <v>111</v>
      </c>
      <c r="B113" s="139" t="str">
        <f>Cues!C115</f>
        <v>play</v>
      </c>
      <c r="C113" s="139" t="str">
        <f>Cues!E115</f>
        <v>mask talks with deepfake voice</v>
      </c>
      <c r="D113" s="139" t="str">
        <f>Cues!O115</f>
        <v/>
      </c>
      <c r="E113" s="139" t="str">
        <f>Cues!H115</f>
        <v>{"av-command": "stt-control", "data": {"listening": false}}</v>
      </c>
      <c r="F113" s="150" t="str">
        <f>Cues!K115</f>
        <v/>
      </c>
      <c r="G113" s="150" t="str">
        <f>IF(Cues!Q115="","",Cues!Q115)</f>
        <v>{"id":"111","type":"meat","channel":"play","text":"How wonderful is this?","gpt_emotion":"","gpt_tone":"","animate":{"pre":"","post":"","next_state":""},"emotion":{"sadness":-1,"joy":-1,"fear":-1,"disgust":-1,"anger":-1},"sgcom":{"mood":"","scale":-1}}</v>
      </c>
      <c r="H113" s="139">
        <f>Cues!T115</f>
        <v>0</v>
      </c>
    </row>
    <row r="114" spans="1:8" ht="34">
      <c r="A114" s="139" t="str">
        <f>TEXT(Cues!A116, "000")</f>
        <v>112</v>
      </c>
      <c r="B114" s="139" t="str">
        <f>Cues!C116</f>
        <v>screen</v>
      </c>
      <c r="C114" s="139" t="str">
        <f>Cues!E116</f>
        <v>deepfake talks (with mask voice)</v>
      </c>
      <c r="D114" s="139" t="str">
        <f>Cues!O116</f>
        <v/>
      </c>
      <c r="E114" s="139" t="str">
        <f>Cues!H116</f>
        <v>{"av-command": "stt-control", "data": {"listening": false}}</v>
      </c>
      <c r="F114" s="150" t="str">
        <f>Cues!K116</f>
        <v>{"command" : "playfake","id":112,"screens":[1,2,3]}</v>
      </c>
      <c r="G114" s="150" t="str">
        <f>IF(Cues!Q116="","",Cues!Q116)</f>
        <v>{"id":112, "screens":[1,2,3]}</v>
      </c>
      <c r="H114" s="139" t="str">
        <f>Cues!T116</f>
        <v>{"words-in" : { "entity" : "deepfake"} }</v>
      </c>
    </row>
    <row r="115" spans="1:8" ht="60">
      <c r="A115" s="139" t="str">
        <f>TEXT(Cues!A117, "000")</f>
        <v>113</v>
      </c>
      <c r="B115" s="139" t="str">
        <f>Cues!C117</f>
        <v>speak</v>
      </c>
      <c r="C115" s="139" t="str">
        <f>Cues!E117</f>
        <v>mask talks</v>
      </c>
      <c r="D115" s="139" t="str">
        <f>Cues!O117</f>
        <v>{ "command": "speak", "entity": "Eliza", "data" : { "text" : "Is it not?"}}</v>
      </c>
      <c r="E115" s="139" t="str">
        <f>Cues!H117</f>
        <v>{"av-command": "stt-control", "data": {"listening": false}}</v>
      </c>
      <c r="F115" s="150" t="str">
        <f>Cues!K117</f>
        <v/>
      </c>
      <c r="G115" s="150" t="str">
        <f>IF(Cues!Q117="","",Cues!Q117)</f>
        <v>{"id":"113","name":"is_it_not","type":"meat","channel":"say","role":"mask","text":"Is it not?","gpt_emotion":"","gpt_tone":"","animate":{"pre":"","post":"","next_state":""},"azure":{"style":"","degree":0,"pause":0,"pitch":0,"rate":0,"volume":0},"emotion":{"sadness":-1,"joy":-1,"fear":-1,"disgust":-1,"anger":-1},"sgcom":{"mood":"","scale":-1}}</v>
      </c>
      <c r="H115" s="139" t="str">
        <f>Cues!T117</f>
        <v>{"words-in" : { "entity" : "Eliza"} }</v>
      </c>
    </row>
    <row r="116" spans="1:8" ht="34">
      <c r="A116" s="139" t="str">
        <f>TEXT(Cues!A118, "000")</f>
        <v>114</v>
      </c>
      <c r="B116" s="139" t="str">
        <f>Cues!C118</f>
        <v>listen</v>
      </c>
      <c r="C116" s="139" t="str">
        <f>Cues!E118</f>
        <v>user talks</v>
      </c>
      <c r="D116" s="139" t="str">
        <f>Cues!O118</f>
        <v>{ "command": "mute", "entity": "Eliza", "data" : null}</v>
      </c>
      <c r="E116" s="139" t="str">
        <f>Cues!H118</f>
        <v>{"av-command": "stt-control", "data": {"listening": true}}</v>
      </c>
      <c r="F116" s="150" t="str">
        <f>Cues!K118</f>
        <v/>
      </c>
      <c r="G116" s="150" t="str">
        <f>IF(Cues!Q118="","",Cues!Q118)</f>
        <v/>
      </c>
      <c r="H116" s="139" t="str">
        <f>Cues!T118</f>
        <v>{"words-in" : { "entity" : "user"} }</v>
      </c>
    </row>
    <row r="117" spans="1:8" ht="90">
      <c r="A117" s="139" t="str">
        <f>TEXT(Cues!A119, "000")</f>
        <v>115</v>
      </c>
      <c r="B117" s="139" t="str">
        <f>Cues!C119</f>
        <v>speak</v>
      </c>
      <c r="C117" s="139" t="str">
        <f>Cues!E119</f>
        <v>mask talks</v>
      </c>
      <c r="D117" s="139" t="str">
        <f>Cues!O119</f>
        <v>{ "command": "speak", "entity": "Eliza", "data" : { "text" : "You can [prosody pitch=5 rate=-5]go [/prosody][prosody pitch=-30]now [/prosody]."}}</v>
      </c>
      <c r="E117" s="139" t="str">
        <f>Cues!H119</f>
        <v>{"av-command": "stt-control", "data": {"listening": false}}</v>
      </c>
      <c r="F117" s="150" t="str">
        <f>Cues!K119</f>
        <v/>
      </c>
      <c r="G117" s="150" t="str">
        <f>IF(Cues!Q119="","",Cues!Q119)</f>
        <v>{"id":"115","name":"you_can_go","type":"meat","channel":"say","role":"mask","text":"You can [prosody pitch=5 rate=-5]go [/prosody][prosody pitch=-30]now [/prosody].","gpt_emotion":"","gpt_tone":"","animate":{"pre":"affectionate","post":"","next_state":""},"azure":{"style":"","degree":0,"pause":0,"pitch":0,"rate":-5,"volume":0},"emotion":{"sadness":-1,"joy":-1,"fear":-1,"disgust":-1,"anger":-1},"sgcom":{"mood":"","scale":-1}}</v>
      </c>
      <c r="H117" s="139" t="str">
        <f>Cues!T119</f>
        <v>{"words-in" : { "entity" : "Eliza"} }</v>
      </c>
    </row>
    <row r="118" spans="1:8" ht="60">
      <c r="A118" s="139" t="str">
        <f>TEXT(Cues!A120, "000")</f>
        <v>116</v>
      </c>
      <c r="B118" s="139" t="str">
        <f>Cues!C120</f>
        <v>speak</v>
      </c>
      <c r="C118" s="139" t="str">
        <f>Cues!E120</f>
        <v>mask talks</v>
      </c>
      <c r="D118" s="139" t="str">
        <f>Cues!O120</f>
        <v>{ "command": "speak", "entity": "Eliza", "data" : { "text" : "Goodbye."}}</v>
      </c>
      <c r="E118" s="139" t="str">
        <f>Cues!H120</f>
        <v>{"av-command": "stt-control", "data": {"listening": false}}</v>
      </c>
      <c r="F118" s="150" t="str">
        <f>Cues!K120</f>
        <v/>
      </c>
      <c r="G118" s="150" t="str">
        <f>IF(Cues!Q120="","",Cues!Q120)</f>
        <v>{"id":"116","name":"bye","type":"meat","channel":"say","role":"mask","text":"Goodbye.","gpt_emotion":"","gpt_tone":"","animate":{"pre":"","post":"","next_state":""},"azure":{"style":"Whispering","degree":1,"pause":0,"pitch":0,"rate":-5,"volume":0},"emotion":{"sadness":-1,"joy":-1,"fear":-1,"disgust":-1,"anger":-1},"sgcom":{"mood":"","scale":-1}}</v>
      </c>
      <c r="H118" s="139" t="str">
        <f>Cues!T120</f>
        <v>{"words-in" : { "entity" : "Eliza"} }</v>
      </c>
    </row>
    <row r="119" spans="1:8" ht="17">
      <c r="A119" s="139" t="str">
        <f>TEXT(Cues!A121, "000")</f>
        <v>117</v>
      </c>
      <c r="B119" s="139" t="str">
        <f>Cues!C121</f>
        <v>state</v>
      </c>
      <c r="C119" s="139" t="str">
        <f>Cues!E121</f>
        <v>fall asleep</v>
      </c>
      <c r="D119" s="139" t="str">
        <f>Cues!O121</f>
        <v/>
      </c>
      <c r="E119" s="139" t="str">
        <f>Cues!H121</f>
        <v/>
      </c>
      <c r="F119" s="150" t="str">
        <f>Cues!K121</f>
        <v/>
      </c>
      <c r="G119" s="150" t="str">
        <f>IF(Cues!Q121="","",Cues!Q121)</f>
        <v>{"id":"116","type":"meat","channel":"state","state":"idle"}</v>
      </c>
      <c r="H119" s="139">
        <f>Cues!T121</f>
        <v>3</v>
      </c>
    </row>
    <row r="120" spans="1:8" ht="17">
      <c r="A120" s="139" t="str">
        <f>TEXT(Cues!A122, "000")</f>
        <v>118</v>
      </c>
      <c r="B120" s="139" t="str">
        <f>Cues!C122</f>
        <v>mood</v>
      </c>
      <c r="C120" s="139" t="str">
        <f>Cues!E122</f>
        <v>projector off, bright lights on</v>
      </c>
      <c r="D120" s="139" t="str">
        <f>Cues!O122</f>
        <v/>
      </c>
      <c r="E120" s="139" t="str">
        <f>Cues!H122</f>
        <v/>
      </c>
      <c r="F120" s="150" t="str">
        <f>Cues!K122</f>
        <v>{"command" : "mood","id":118,"mood_num":"8"}</v>
      </c>
      <c r="G120" s="150" t="str">
        <f>IF(Cues!Q122="","",Cues!Q122)</f>
        <v/>
      </c>
      <c r="H120" s="139">
        <f>Cues!T122</f>
        <v>60</v>
      </c>
    </row>
    <row r="121" spans="1:8" ht="17">
      <c r="A121" s="139" t="str">
        <f>TEXT(Cues!A123, "000")</f>
        <v>119</v>
      </c>
      <c r="B121" s="139" t="str">
        <f>Cues!C123</f>
        <v>mood</v>
      </c>
      <c r="C121" s="139" t="str">
        <f>Cues!E123</f>
        <v>reset to beginning</v>
      </c>
      <c r="D121" s="139" t="str">
        <f>Cues!O123</f>
        <v/>
      </c>
      <c r="E121" s="139" t="str">
        <f>Cues!H123</f>
        <v/>
      </c>
      <c r="F121" s="150" t="str">
        <f>Cues!K123</f>
        <v>{"command" : "mood","id":119,"mood_num":"1"}</v>
      </c>
      <c r="G121" s="150" t="str">
        <f>IF(Cues!Q123="","",Cues!Q123)</f>
        <v/>
      </c>
      <c r="H121" s="139" t="str">
        <f>Cues!T123</f>
        <v/>
      </c>
    </row>
    <row r="122" spans="1:8" ht="15.75" customHeight="1">
      <c r="G122" s="150">
        <f>Cues!Q148</f>
        <v>0</v>
      </c>
    </row>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B1566-BCD4-904A-AC9C-E174C537CF01}">
  <dimension ref="A1:B7"/>
  <sheetViews>
    <sheetView workbookViewId="0">
      <selection activeCell="B5" sqref="B5"/>
    </sheetView>
  </sheetViews>
  <sheetFormatPr baseColWidth="10" defaultColWidth="11" defaultRowHeight="16"/>
  <cols>
    <col min="1" max="1" width="18.83203125" customWidth="1"/>
    <col min="2" max="2" width="65.83203125" customWidth="1"/>
  </cols>
  <sheetData>
    <row r="1" spans="1:2">
      <c r="A1" s="128" t="s">
        <v>350</v>
      </c>
      <c r="B1" s="128" t="s">
        <v>351</v>
      </c>
    </row>
    <row r="2" spans="1:2">
      <c r="A2" t="s">
        <v>137</v>
      </c>
      <c r="B2" t="s">
        <v>352</v>
      </c>
    </row>
    <row r="3" spans="1:2">
      <c r="A3" t="s">
        <v>353</v>
      </c>
      <c r="B3" t="s">
        <v>354</v>
      </c>
    </row>
    <row r="4" spans="1:2">
      <c r="A4" t="s">
        <v>76</v>
      </c>
      <c r="B4" t="s">
        <v>355</v>
      </c>
    </row>
    <row r="5" spans="1:2">
      <c r="A5" t="s">
        <v>100</v>
      </c>
      <c r="B5" t="s">
        <v>356</v>
      </c>
    </row>
    <row r="6" spans="1:2">
      <c r="A6" t="s">
        <v>357</v>
      </c>
      <c r="B6" t="s">
        <v>358</v>
      </c>
    </row>
    <row r="7" spans="1:2">
      <c r="A7" t="s">
        <v>359</v>
      </c>
      <c r="B7" t="s">
        <v>360</v>
      </c>
    </row>
  </sheetData>
  <autoFilter ref="A1:B1" xr:uid="{1A0B1566-BCD4-904A-AC9C-E174C537CF01}"/>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DA913-938D-B348-BCB9-06C3F91D7AFF}">
  <dimension ref="A1:B8"/>
  <sheetViews>
    <sheetView zoomScale="170" zoomScaleNormal="170" workbookViewId="0">
      <selection activeCell="A9" sqref="A9:B9"/>
    </sheetView>
  </sheetViews>
  <sheetFormatPr baseColWidth="10" defaultColWidth="11" defaultRowHeight="16"/>
  <cols>
    <col min="1" max="1" width="17.1640625" customWidth="1"/>
    <col min="2" max="2" width="65" customWidth="1"/>
  </cols>
  <sheetData>
    <row r="1" spans="1:2">
      <c r="A1" s="128" t="s">
        <v>350</v>
      </c>
      <c r="B1" s="128" t="s">
        <v>351</v>
      </c>
    </row>
    <row r="2" spans="1:2">
      <c r="A2" t="s">
        <v>180</v>
      </c>
      <c r="B2" t="s">
        <v>361</v>
      </c>
    </row>
    <row r="3" spans="1:2">
      <c r="A3" t="s">
        <v>362</v>
      </c>
      <c r="B3" t="s">
        <v>363</v>
      </c>
    </row>
    <row r="4" spans="1:2">
      <c r="A4" t="s">
        <v>212</v>
      </c>
      <c r="B4" t="s">
        <v>364</v>
      </c>
    </row>
    <row r="5" spans="1:2">
      <c r="A5" t="s">
        <v>365</v>
      </c>
      <c r="B5" t="s">
        <v>366</v>
      </c>
    </row>
    <row r="6" spans="1:2">
      <c r="A6" t="s">
        <v>367</v>
      </c>
      <c r="B6" t="s">
        <v>368</v>
      </c>
    </row>
    <row r="7" spans="1:2">
      <c r="A7" t="s">
        <v>73</v>
      </c>
      <c r="B7" t="s">
        <v>369</v>
      </c>
    </row>
    <row r="8" spans="1:2">
      <c r="A8" t="s">
        <v>80</v>
      </c>
      <c r="B8" t="s">
        <v>370</v>
      </c>
    </row>
  </sheetData>
  <autoFilter ref="A1:B1" xr:uid="{ECDDA913-938D-B348-BCB9-06C3F91D7AFF}">
    <sortState xmlns:xlrd2="http://schemas.microsoft.com/office/spreadsheetml/2017/richdata2" ref="A2:B3">
      <sortCondition ref="A1:A3"/>
    </sortState>
  </autoFilter>
  <sortState xmlns:xlrd2="http://schemas.microsoft.com/office/spreadsheetml/2017/richdata2" ref="A2:B7">
    <sortCondition ref="A2:A7"/>
  </sortState>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05F9F-9C60-1F40-993F-4FBCA07487C9}">
  <dimension ref="A1:G7"/>
  <sheetViews>
    <sheetView zoomScale="140" zoomScaleNormal="140" workbookViewId="0">
      <selection activeCell="A13" sqref="A13"/>
    </sheetView>
  </sheetViews>
  <sheetFormatPr baseColWidth="10" defaultColWidth="11" defaultRowHeight="16"/>
  <cols>
    <col min="1" max="1" width="30.83203125" customWidth="1"/>
    <col min="2" max="2" width="40.1640625" customWidth="1"/>
  </cols>
  <sheetData>
    <row r="1" spans="1:7">
      <c r="A1" s="162" t="s">
        <v>350</v>
      </c>
      <c r="B1" s="128" t="s">
        <v>351</v>
      </c>
    </row>
    <row r="2" spans="1:7">
      <c r="A2" s="163" t="s">
        <v>353</v>
      </c>
      <c r="B2" s="160" t="s">
        <v>371</v>
      </c>
    </row>
    <row r="3" spans="1:7">
      <c r="A3" s="163" t="s">
        <v>372</v>
      </c>
      <c r="B3" s="160" t="s">
        <v>373</v>
      </c>
    </row>
    <row r="4" spans="1:7">
      <c r="A4" s="163" t="s">
        <v>374</v>
      </c>
      <c r="B4" s="160" t="s">
        <v>375</v>
      </c>
    </row>
    <row r="5" spans="1:7">
      <c r="A5" s="163" t="s">
        <v>90</v>
      </c>
      <c r="B5" s="160" t="s">
        <v>376</v>
      </c>
    </row>
    <row r="6" spans="1:7">
      <c r="A6" s="163" t="s">
        <v>99</v>
      </c>
      <c r="B6" s="160" t="s">
        <v>377</v>
      </c>
      <c r="G6" t="str">
        <f>IFERROR(LOOKUP(F6, av_commands!A5:B30table_observe_commands),"")</f>
        <v/>
      </c>
    </row>
    <row r="7" spans="1:7">
      <c r="A7" s="161" t="s">
        <v>378</v>
      </c>
      <c r="B7" s="160" t="s">
        <v>379</v>
      </c>
    </row>
  </sheetData>
  <autoFilter ref="A1:B1" xr:uid="{32905F9F-9C60-1F40-993F-4FBCA07487C9}"/>
  <sortState xmlns:xlrd2="http://schemas.microsoft.com/office/spreadsheetml/2017/richdata2" ref="A1:B7">
    <sortCondition ref="A2:A7"/>
  </sortState>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72BB5-9E72-4E42-AC34-EF9B6C9873E3}">
  <dimension ref="A1:H11"/>
  <sheetViews>
    <sheetView zoomScale="150" zoomScaleNormal="150" workbookViewId="0">
      <selection activeCell="B11" sqref="B11"/>
    </sheetView>
  </sheetViews>
  <sheetFormatPr baseColWidth="10" defaultColWidth="11" defaultRowHeight="16"/>
  <cols>
    <col min="1" max="1" width="18.6640625" customWidth="1"/>
    <col min="2" max="2" width="38.33203125" customWidth="1"/>
  </cols>
  <sheetData>
    <row r="1" spans="1:8">
      <c r="A1" s="128" t="s">
        <v>350</v>
      </c>
      <c r="B1" s="128" t="s">
        <v>351</v>
      </c>
      <c r="G1" t="s">
        <v>380</v>
      </c>
      <c r="H1" t="s">
        <v>381</v>
      </c>
    </row>
    <row r="2" spans="1:8">
      <c r="A2" t="s">
        <v>382</v>
      </c>
      <c r="B2" t="s">
        <v>383</v>
      </c>
      <c r="G2" t="s">
        <v>384</v>
      </c>
      <c r="H2" t="s">
        <v>385</v>
      </c>
    </row>
    <row r="3" spans="1:8">
      <c r="A3" t="s">
        <v>386</v>
      </c>
      <c r="B3" t="s">
        <v>387</v>
      </c>
    </row>
    <row r="4" spans="1:8">
      <c r="A4" t="s">
        <v>388</v>
      </c>
      <c r="B4" t="s">
        <v>389</v>
      </c>
    </row>
    <row r="5" spans="1:8">
      <c r="A5" t="s">
        <v>390</v>
      </c>
      <c r="B5" s="160" t="s">
        <v>391</v>
      </c>
    </row>
    <row r="6" spans="1:8">
      <c r="A6" t="s">
        <v>239</v>
      </c>
      <c r="B6" s="160" t="s">
        <v>392</v>
      </c>
    </row>
    <row r="7" spans="1:8">
      <c r="A7" t="s">
        <v>393</v>
      </c>
      <c r="B7" s="160" t="s">
        <v>394</v>
      </c>
    </row>
    <row r="8" spans="1:8">
      <c r="A8" t="s">
        <v>395</v>
      </c>
      <c r="B8" s="160" t="s">
        <v>396</v>
      </c>
    </row>
    <row r="9" spans="1:8">
      <c r="A9" t="s">
        <v>87</v>
      </c>
      <c r="B9" s="160" t="s">
        <v>397</v>
      </c>
      <c r="G9" t="s">
        <v>82</v>
      </c>
      <c r="H9" t="s">
        <v>398</v>
      </c>
    </row>
    <row r="10" spans="1:8">
      <c r="A10" t="s">
        <v>399</v>
      </c>
      <c r="B10" s="160" t="s">
        <v>400</v>
      </c>
    </row>
    <row r="11" spans="1:8">
      <c r="A11" t="s">
        <v>401</v>
      </c>
      <c r="B11" s="160" t="s">
        <v>402</v>
      </c>
    </row>
  </sheetData>
  <autoFilter ref="A1:B7" xr:uid="{FA772BB5-9E72-4E42-AC34-EF9B6C9873E3}">
    <sortState xmlns:xlrd2="http://schemas.microsoft.com/office/spreadsheetml/2017/richdata2" ref="A2:B7">
      <sortCondition ref="A1:A7"/>
    </sortState>
  </autoFilter>
  <sortState xmlns:xlrd2="http://schemas.microsoft.com/office/spreadsheetml/2017/richdata2" ref="A1:B11">
    <sortCondition ref="A2:A11"/>
  </sortState>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J52"/>
  <sheetViews>
    <sheetView zoomScale="120" zoomScaleNormal="120" workbookViewId="0">
      <selection activeCell="B9" sqref="B9"/>
    </sheetView>
  </sheetViews>
  <sheetFormatPr baseColWidth="10" defaultColWidth="11" defaultRowHeight="13"/>
  <cols>
    <col min="1" max="1" width="20.6640625" style="90" customWidth="1"/>
    <col min="2" max="16384" width="11" style="90"/>
  </cols>
  <sheetData>
    <row r="1" spans="1:6">
      <c r="A1" s="96" t="s">
        <v>403</v>
      </c>
      <c r="B1" s="97" t="s">
        <v>47</v>
      </c>
    </row>
    <row r="2" spans="1:6">
      <c r="A2" s="96" t="s">
        <v>404</v>
      </c>
      <c r="B2" s="98" t="b">
        <v>1</v>
      </c>
    </row>
    <row r="3" spans="1:6">
      <c r="A3" s="96" t="s">
        <v>405</v>
      </c>
      <c r="B3" s="98" t="b">
        <v>0</v>
      </c>
    </row>
    <row r="4" spans="1:6">
      <c r="A4" s="96" t="s">
        <v>406</v>
      </c>
      <c r="B4" s="98" t="b">
        <v>0</v>
      </c>
    </row>
    <row r="5" spans="1:6">
      <c r="A5" s="96" t="s">
        <v>407</v>
      </c>
      <c r="B5" s="94" t="s">
        <v>408</v>
      </c>
    </row>
    <row r="6" spans="1:6">
      <c r="A6" s="95" t="str">
        <f>"OSC Exe NPM"</f>
        <v>OSC Exe NPM</v>
      </c>
      <c r="B6" s="94" t="s">
        <v>409</v>
      </c>
    </row>
    <row r="7" spans="1:6">
      <c r="A7" s="100" t="s">
        <v>410</v>
      </c>
      <c r="B7" s="97" t="s">
        <v>411</v>
      </c>
      <c r="C7" s="91"/>
    </row>
    <row r="8" spans="1:6">
      <c r="A8" s="100"/>
      <c r="B8" s="97"/>
      <c r="C8" s="91"/>
    </row>
    <row r="9" spans="1:6">
      <c r="A9" s="100" t="s">
        <v>412</v>
      </c>
      <c r="B9" s="98" t="s">
        <v>564</v>
      </c>
      <c r="C9" s="98" t="s">
        <v>564</v>
      </c>
      <c r="D9" s="91"/>
      <c r="F9" s="91"/>
    </row>
    <row r="10" spans="1:6">
      <c r="A10" s="100" t="s">
        <v>413</v>
      </c>
      <c r="B10" s="99">
        <v>5918</v>
      </c>
    </row>
    <row r="11" spans="1:6">
      <c r="A11" s="100" t="s">
        <v>414</v>
      </c>
      <c r="B11" s="99">
        <v>5938</v>
      </c>
    </row>
    <row r="12" spans="1:6">
      <c r="A12" s="101"/>
      <c r="B12" s="97"/>
    </row>
    <row r="13" spans="1:6">
      <c r="A13" s="100" t="s">
        <v>415</v>
      </c>
      <c r="B13" s="98" t="s">
        <v>416</v>
      </c>
      <c r="C13" s="90" t="s">
        <v>417</v>
      </c>
    </row>
    <row r="14" spans="1:6">
      <c r="A14" s="100" t="s">
        <v>418</v>
      </c>
      <c r="B14" s="98" t="s">
        <v>419</v>
      </c>
      <c r="C14" s="90" t="s">
        <v>420</v>
      </c>
    </row>
    <row r="15" spans="1:6">
      <c r="A15" s="100" t="s">
        <v>421</v>
      </c>
      <c r="B15" s="98" t="s">
        <v>284</v>
      </c>
      <c r="C15" s="90" t="s">
        <v>422</v>
      </c>
    </row>
    <row r="16" spans="1:6">
      <c r="A16" s="100" t="s">
        <v>423</v>
      </c>
      <c r="B16" s="98" t="s">
        <v>295</v>
      </c>
      <c r="C16" s="90" t="s">
        <v>424</v>
      </c>
    </row>
    <row r="17" spans="1:3">
      <c r="A17" s="100" t="s">
        <v>425</v>
      </c>
      <c r="B17" s="98" t="s">
        <v>426</v>
      </c>
      <c r="C17" s="90" t="s">
        <v>427</v>
      </c>
    </row>
    <row r="18" spans="1:3">
      <c r="A18" s="100" t="s">
        <v>428</v>
      </c>
      <c r="B18" s="98" t="s">
        <v>429</v>
      </c>
    </row>
    <row r="19" spans="1:3">
      <c r="A19" s="101"/>
      <c r="B19" s="97"/>
    </row>
    <row r="20" spans="1:3">
      <c r="A20" s="100" t="s">
        <v>430</v>
      </c>
      <c r="B20" s="98" t="s">
        <v>431</v>
      </c>
      <c r="C20" s="90" t="s">
        <v>432</v>
      </c>
    </row>
    <row r="21" spans="1:3">
      <c r="A21" s="100" t="s">
        <v>433</v>
      </c>
      <c r="B21" s="98" t="s">
        <v>434</v>
      </c>
      <c r="C21" s="90" t="s">
        <v>435</v>
      </c>
    </row>
    <row r="22" spans="1:3">
      <c r="A22" s="100" t="s">
        <v>436</v>
      </c>
      <c r="B22" s="98" t="s">
        <v>437</v>
      </c>
      <c r="C22" s="90" t="s">
        <v>438</v>
      </c>
    </row>
    <row r="23" spans="1:3">
      <c r="A23" s="100" t="s">
        <v>439</v>
      </c>
      <c r="B23" s="98" t="s">
        <v>440</v>
      </c>
      <c r="C23" s="90" t="s">
        <v>254</v>
      </c>
    </row>
    <row r="24" spans="1:3">
      <c r="A24" s="100"/>
      <c r="B24" s="98"/>
    </row>
    <row r="25" spans="1:3">
      <c r="A25" s="100"/>
      <c r="B25" s="98"/>
    </row>
    <row r="26" spans="1:3">
      <c r="A26" s="100" t="s">
        <v>441</v>
      </c>
      <c r="B26" s="98" t="s">
        <v>442</v>
      </c>
      <c r="C26" s="90" t="s">
        <v>443</v>
      </c>
    </row>
    <row r="27" spans="1:3">
      <c r="A27" s="100" t="s">
        <v>444</v>
      </c>
      <c r="B27" s="98" t="s">
        <v>445</v>
      </c>
      <c r="C27" s="90" t="s">
        <v>446</v>
      </c>
    </row>
    <row r="28" spans="1:3">
      <c r="A28" s="100" t="s">
        <v>447</v>
      </c>
      <c r="B28" s="98" t="s">
        <v>448</v>
      </c>
      <c r="C28" s="90" t="s">
        <v>449</v>
      </c>
    </row>
    <row r="29" spans="1:3">
      <c r="A29" s="100"/>
      <c r="B29" s="98"/>
    </row>
    <row r="30" spans="1:3">
      <c r="A30" s="100" t="s">
        <v>450</v>
      </c>
      <c r="B30" s="98" t="s">
        <v>451</v>
      </c>
      <c r="C30" s="90" t="s">
        <v>452</v>
      </c>
    </row>
    <row r="32" spans="1:3">
      <c r="A32" s="101" t="s">
        <v>453</v>
      </c>
      <c r="B32" s="94" t="s">
        <v>454</v>
      </c>
    </row>
    <row r="33" spans="1:10">
      <c r="A33" s="101" t="s">
        <v>455</v>
      </c>
      <c r="B33" s="94" t="s">
        <v>456</v>
      </c>
    </row>
    <row r="34" spans="1:10">
      <c r="A34" s="102" t="s">
        <v>457</v>
      </c>
      <c r="B34" s="102" t="str">
        <f>label_gpt_emo</f>
        <v>gpt_emotion</v>
      </c>
      <c r="C34" s="102" t="s">
        <v>458</v>
      </c>
      <c r="D34" s="102" t="s">
        <v>459</v>
      </c>
      <c r="E34" s="102" t="s">
        <v>460</v>
      </c>
      <c r="F34" s="102" t="s">
        <v>461</v>
      </c>
      <c r="G34" s="102" t="s">
        <v>462</v>
      </c>
      <c r="H34" s="102" t="s">
        <v>463</v>
      </c>
      <c r="I34" s="94" t="s">
        <v>464</v>
      </c>
      <c r="J34" s="94" t="s">
        <v>465</v>
      </c>
    </row>
    <row r="35" spans="1:10">
      <c r="A35" s="91" t="s">
        <v>106</v>
      </c>
      <c r="B35" s="91" t="s">
        <v>117</v>
      </c>
      <c r="C35" s="91" t="s">
        <v>303</v>
      </c>
      <c r="D35" s="91" t="s">
        <v>153</v>
      </c>
      <c r="E35" s="91" t="s">
        <v>109</v>
      </c>
      <c r="F35" s="91" t="s">
        <v>82</v>
      </c>
      <c r="G35" s="91" t="s">
        <v>466</v>
      </c>
      <c r="H35" s="91" t="s">
        <v>48</v>
      </c>
      <c r="I35" s="103" t="s">
        <v>467</v>
      </c>
      <c r="J35" s="90" t="s">
        <v>117</v>
      </c>
    </row>
    <row r="36" spans="1:10">
      <c r="A36" s="91" t="s">
        <v>114</v>
      </c>
      <c r="B36" s="91" t="s">
        <v>72</v>
      </c>
      <c r="C36" s="91" t="s">
        <v>317</v>
      </c>
      <c r="D36" s="91" t="s">
        <v>251</v>
      </c>
      <c r="E36" s="91" t="s">
        <v>100</v>
      </c>
      <c r="F36" s="91" t="s">
        <v>103</v>
      </c>
      <c r="G36" s="91" t="s">
        <v>564</v>
      </c>
      <c r="H36" s="91" t="s">
        <v>47</v>
      </c>
      <c r="I36" s="103" t="s">
        <v>468</v>
      </c>
      <c r="J36" s="90" t="s">
        <v>108</v>
      </c>
    </row>
    <row r="37" spans="1:10">
      <c r="A37" s="91" t="s">
        <v>158</v>
      </c>
      <c r="B37" s="91" t="s">
        <v>70</v>
      </c>
      <c r="C37" s="91" t="s">
        <v>319</v>
      </c>
      <c r="D37" s="91" t="s">
        <v>469</v>
      </c>
      <c r="E37" s="91" t="s">
        <v>297</v>
      </c>
      <c r="F37" s="91"/>
      <c r="G37" s="91"/>
      <c r="H37" s="91"/>
      <c r="I37" s="103" t="s">
        <v>470</v>
      </c>
      <c r="J37" s="90" t="s">
        <v>336</v>
      </c>
    </row>
    <row r="38" spans="1:10">
      <c r="A38" s="91" t="s">
        <v>471</v>
      </c>
      <c r="B38" s="91" t="s">
        <v>323</v>
      </c>
      <c r="C38" s="91"/>
      <c r="D38" s="91" t="s">
        <v>267</v>
      </c>
      <c r="E38" s="91" t="str">
        <f>""</f>
        <v/>
      </c>
      <c r="F38" s="91"/>
      <c r="G38" s="91"/>
      <c r="H38" s="91"/>
      <c r="I38" s="103" t="s">
        <v>472</v>
      </c>
      <c r="J38" s="90" t="s">
        <v>473</v>
      </c>
    </row>
    <row r="39" spans="1:10">
      <c r="A39" s="91" t="s">
        <v>154</v>
      </c>
      <c r="B39" s="91" t="s">
        <v>69</v>
      </c>
      <c r="C39" s="91"/>
      <c r="D39" s="91" t="s">
        <v>279</v>
      </c>
      <c r="E39" s="91" t="str">
        <f>""</f>
        <v/>
      </c>
      <c r="F39" s="91"/>
      <c r="G39" s="91"/>
      <c r="H39" s="91"/>
      <c r="I39" s="103" t="s">
        <v>474</v>
      </c>
      <c r="J39" s="90" t="s">
        <v>475</v>
      </c>
    </row>
    <row r="40" spans="1:10">
      <c r="A40" s="91" t="s">
        <v>268</v>
      </c>
      <c r="B40" s="91" t="s">
        <v>71</v>
      </c>
      <c r="C40" s="91"/>
      <c r="D40" s="91" t="s">
        <v>276</v>
      </c>
      <c r="E40" s="91" t="str">
        <f>""</f>
        <v/>
      </c>
      <c r="F40" s="91"/>
      <c r="G40" s="91"/>
      <c r="H40" s="91"/>
      <c r="I40" s="103" t="s">
        <v>476</v>
      </c>
      <c r="J40" s="90" t="s">
        <v>477</v>
      </c>
    </row>
    <row r="41" spans="1:10">
      <c r="A41" s="91" t="s">
        <v>145</v>
      </c>
      <c r="B41" s="91"/>
      <c r="C41" s="91"/>
      <c r="D41" s="91" t="s">
        <v>292</v>
      </c>
      <c r="E41" s="91"/>
      <c r="F41" s="91"/>
      <c r="G41" s="91"/>
      <c r="H41" s="91"/>
      <c r="I41" s="103" t="s">
        <v>478</v>
      </c>
      <c r="J41" s="91" t="str">
        <f>""</f>
        <v/>
      </c>
    </row>
    <row r="42" spans="1:10">
      <c r="A42" s="91" t="s">
        <v>256</v>
      </c>
      <c r="B42" s="91"/>
      <c r="C42" s="91"/>
      <c r="D42" s="91" t="s">
        <v>330</v>
      </c>
      <c r="E42" s="91"/>
      <c r="F42" s="91"/>
      <c r="G42" s="91"/>
      <c r="H42" s="91"/>
      <c r="I42" s="103" t="s">
        <v>479</v>
      </c>
      <c r="J42" s="91" t="str">
        <f>""</f>
        <v/>
      </c>
    </row>
    <row r="43" spans="1:10">
      <c r="A43" s="91" t="s">
        <v>120</v>
      </c>
      <c r="B43" s="91"/>
      <c r="C43" s="91"/>
      <c r="D43" s="91" t="s">
        <v>332</v>
      </c>
      <c r="E43" s="91"/>
      <c r="F43" s="91"/>
      <c r="G43" s="91"/>
      <c r="H43" s="91"/>
      <c r="I43" s="103" t="s">
        <v>480</v>
      </c>
      <c r="J43" s="91" t="str">
        <f>""</f>
        <v/>
      </c>
    </row>
    <row r="44" spans="1:10">
      <c r="A44" s="91" t="s">
        <v>130</v>
      </c>
      <c r="B44" s="91"/>
      <c r="C44" s="91"/>
      <c r="D44" s="91" t="s">
        <v>333</v>
      </c>
      <c r="E44" s="91"/>
      <c r="F44" s="91"/>
      <c r="G44" s="91"/>
      <c r="H44" s="91"/>
      <c r="I44" s="103" t="s">
        <v>481</v>
      </c>
      <c r="J44" s="91" t="str">
        <f>""</f>
        <v/>
      </c>
    </row>
    <row r="45" spans="1:10">
      <c r="A45" s="91" t="s">
        <v>149</v>
      </c>
      <c r="B45" s="91"/>
      <c r="C45" s="91"/>
      <c r="D45" s="91" t="s">
        <v>335</v>
      </c>
      <c r="E45" s="91"/>
      <c r="F45" s="91"/>
      <c r="G45" s="91"/>
      <c r="H45" s="91"/>
      <c r="I45" s="103" t="s">
        <v>482</v>
      </c>
      <c r="J45" s="91" t="str">
        <f>""</f>
        <v/>
      </c>
    </row>
    <row r="46" spans="1:10">
      <c r="B46" s="91"/>
      <c r="C46" s="91"/>
      <c r="D46" s="91" t="s">
        <v>320</v>
      </c>
      <c r="E46" s="91"/>
      <c r="F46" s="91"/>
      <c r="G46" s="91"/>
      <c r="H46" s="91"/>
      <c r="I46" s="103" t="s">
        <v>483</v>
      </c>
    </row>
    <row r="47" spans="1:10">
      <c r="B47" s="91"/>
      <c r="C47" s="91"/>
      <c r="D47" s="91" t="s">
        <v>337</v>
      </c>
      <c r="E47" s="91"/>
      <c r="F47" s="91"/>
      <c r="G47" s="91"/>
      <c r="H47" s="91"/>
      <c r="I47" s="103" t="s">
        <v>484</v>
      </c>
    </row>
    <row r="48" spans="1:10">
      <c r="B48" s="94"/>
      <c r="D48" s="103" t="s">
        <v>339</v>
      </c>
      <c r="I48" s="103" t="s">
        <v>485</v>
      </c>
    </row>
    <row r="49" spans="4:9">
      <c r="D49" s="103" t="s">
        <v>340</v>
      </c>
      <c r="I49" s="103" t="s">
        <v>486</v>
      </c>
    </row>
    <row r="50" spans="4:9">
      <c r="D50" s="103" t="s">
        <v>342</v>
      </c>
      <c r="I50" s="103" t="s">
        <v>487</v>
      </c>
    </row>
    <row r="51" spans="4:9">
      <c r="D51" s="103" t="s">
        <v>309</v>
      </c>
    </row>
    <row r="52" spans="4:9">
      <c r="D52" s="103" t="s">
        <v>315</v>
      </c>
    </row>
  </sheetData>
  <dataValidations count="2">
    <dataValidation type="custom" allowBlank="1" showInputMessage="1" showErrorMessage="1" sqref="B1 B3:B4" xr:uid="{02239280-99E0-604F-BCF6-AD38D5A6203D}">
      <formula1>languages</formula1>
    </dataValidation>
    <dataValidation type="custom" allowBlank="1" showInputMessage="1" showErrorMessage="1" sqref="B9:C9" xr:uid="{C2F12524-017C-9D45-B106-830D54892BC9}">
      <formula1>list_ips</formula1>
    </dataValidation>
  </dataValidations>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J40"/>
  <sheetViews>
    <sheetView topLeftCell="A7" zoomScale="110" zoomScaleNormal="110" workbookViewId="0">
      <selection activeCell="G24" sqref="G24"/>
    </sheetView>
  </sheetViews>
  <sheetFormatPr baseColWidth="10" defaultColWidth="10.6640625" defaultRowHeight="16"/>
  <cols>
    <col min="2" max="2" width="42.1640625" customWidth="1"/>
    <col min="3" max="3" width="66.6640625" customWidth="1"/>
    <col min="4" max="4" width="12.1640625" customWidth="1"/>
    <col min="5" max="5" width="3.5" customWidth="1"/>
    <col min="6" max="6" width="17.6640625" customWidth="1"/>
    <col min="7" max="7" width="14.6640625" customWidth="1"/>
    <col min="8" max="9" width="15.1640625" customWidth="1"/>
  </cols>
  <sheetData>
    <row r="1" spans="2:10" s="11" customFormat="1" ht="19">
      <c r="B1" s="12" t="s">
        <v>488</v>
      </c>
    </row>
    <row r="2" spans="2:10" s="11" customFormat="1" ht="19">
      <c r="B2" s="12"/>
    </row>
    <row r="3" spans="2:10" s="11" customFormat="1" ht="19">
      <c r="B3" s="13" t="s">
        <v>489</v>
      </c>
    </row>
    <row r="4" spans="2:10" s="11" customFormat="1" ht="19">
      <c r="B4" s="13" t="s">
        <v>490</v>
      </c>
    </row>
    <row r="5" spans="2:10" s="11" customFormat="1" ht="19">
      <c r="B5" s="13" t="s">
        <v>491</v>
      </c>
    </row>
    <row r="6" spans="2:10" ht="17">
      <c r="B6" s="14"/>
    </row>
    <row r="7" spans="2:10" ht="36">
      <c r="B7" s="15" t="s">
        <v>0</v>
      </c>
      <c r="C7" s="16" t="str">
        <f>"json"</f>
        <v>json</v>
      </c>
      <c r="D7" s="17" t="s">
        <v>492</v>
      </c>
      <c r="F7" s="16" t="s">
        <v>493</v>
      </c>
      <c r="G7" s="16" t="s">
        <v>494</v>
      </c>
      <c r="H7" s="16" t="s">
        <v>495</v>
      </c>
      <c r="I7" s="16" t="s">
        <v>496</v>
      </c>
    </row>
    <row r="8" spans="2:10" ht="19">
      <c r="C8" s="13" t="s">
        <v>468</v>
      </c>
      <c r="F8" s="18" t="str">
        <f t="array" ref="F8:F18">list_animations</f>
        <v>eyeroll</v>
      </c>
      <c r="G8" s="18" t="str">
        <f t="array" ref="G8:G18">list_azu_styles</f>
        <v>Default</v>
      </c>
      <c r="H8" s="18" t="str">
        <f t="array" ref="H8:H14">list_unreal_states</f>
        <v>listen</v>
      </c>
      <c r="I8" s="18" t="str">
        <f t="array" ref="I8:I17">list_sg_moods</f>
        <v>neutral</v>
      </c>
      <c r="J8" s="19"/>
    </row>
    <row r="9" spans="2:10" ht="19">
      <c r="B9" s="20" t="s">
        <v>497</v>
      </c>
      <c r="C9" s="21" t="s">
        <v>498</v>
      </c>
      <c r="D9" s="2" t="s">
        <v>499</v>
      </c>
      <c r="F9" s="18" t="str">
        <v>shirtcheck</v>
      </c>
      <c r="G9" s="18" t="str">
        <v>Sad</v>
      </c>
      <c r="H9" s="18" t="str">
        <v>speak</v>
      </c>
      <c r="I9" s="18" t="str">
        <v>positive</v>
      </c>
      <c r="J9" s="19"/>
    </row>
    <row r="10" spans="2:10" ht="19">
      <c r="B10" s="20" t="s">
        <v>500</v>
      </c>
      <c r="C10" s="21" t="s">
        <v>501</v>
      </c>
      <c r="D10" s="1"/>
      <c r="F10" s="18" t="str">
        <v>steam</v>
      </c>
      <c r="G10" s="18" t="str">
        <v>Cheerful</v>
      </c>
      <c r="H10" s="18" t="str">
        <v>idle</v>
      </c>
      <c r="I10" s="18" t="str">
        <v>negative</v>
      </c>
      <c r="J10" s="19"/>
    </row>
    <row r="11" spans="2:10" ht="19">
      <c r="B11" s="20" t="s">
        <v>502</v>
      </c>
      <c r="C11" s="13" t="s">
        <v>503</v>
      </c>
      <c r="D11" s="2" t="s">
        <v>499</v>
      </c>
      <c r="F11" s="18" t="str">
        <v>discoverfake</v>
      </c>
      <c r="G11" s="18" t="str">
        <v>Terrified</v>
      </c>
      <c r="H11" s="18" t="str">
        <v/>
      </c>
      <c r="I11" s="18" t="str">
        <v>effort</v>
      </c>
      <c r="J11" s="19"/>
    </row>
    <row r="12" spans="2:10" ht="19">
      <c r="B12" s="20" t="s">
        <v>502</v>
      </c>
      <c r="C12" s="13" t="s">
        <v>504</v>
      </c>
      <c r="D12" s="2" t="s">
        <v>499</v>
      </c>
      <c r="F12" s="18" t="str">
        <v>lookleftright</v>
      </c>
      <c r="G12" s="18" t="str">
        <v>Unfriendly</v>
      </c>
      <c r="H12" s="18" t="str">
        <v/>
      </c>
      <c r="I12" s="18" t="str">
        <v>annoyed</v>
      </c>
      <c r="J12" s="19"/>
    </row>
    <row r="13" spans="2:10" ht="19">
      <c r="B13" s="20" t="s">
        <v>505</v>
      </c>
      <c r="C13" s="13" t="s">
        <v>506</v>
      </c>
      <c r="D13" s="1"/>
      <c r="F13" s="18" t="str">
        <v>look_up</v>
      </c>
      <c r="G13" s="18" t="str">
        <v>Angry</v>
      </c>
      <c r="H13" s="18" t="str">
        <v/>
      </c>
      <c r="I13" s="18" t="str">
        <v>acknowledge</v>
      </c>
      <c r="J13" s="19"/>
    </row>
    <row r="14" spans="2:10" ht="19">
      <c r="B14" s="20" t="s">
        <v>507</v>
      </c>
      <c r="C14" s="13" t="s">
        <v>508</v>
      </c>
      <c r="D14" s="2" t="s">
        <v>499</v>
      </c>
      <c r="F14" s="18" t="str">
        <v>affectionate</v>
      </c>
      <c r="G14" s="18" t="str">
        <v>Excited</v>
      </c>
      <c r="H14" s="18">
        <v>0</v>
      </c>
      <c r="I14" s="18" t="str">
        <v/>
      </c>
      <c r="J14" s="19"/>
    </row>
    <row r="15" spans="2:10" ht="19">
      <c r="B15" s="20" t="s">
        <v>509</v>
      </c>
      <c r="C15" s="13" t="s">
        <v>510</v>
      </c>
      <c r="D15" s="2" t="s">
        <v>499</v>
      </c>
      <c r="F15" s="18" t="str">
        <v>bored</v>
      </c>
      <c r="G15" s="18" t="str">
        <v>Shouting</v>
      </c>
      <c r="H15" s="18"/>
      <c r="I15" s="18" t="str">
        <v/>
      </c>
      <c r="J15" s="19"/>
    </row>
    <row r="16" spans="2:10" ht="19">
      <c r="B16" s="20" t="s">
        <v>511</v>
      </c>
      <c r="C16" s="13" t="s">
        <v>512</v>
      </c>
      <c r="D16" s="2" t="s">
        <v>499</v>
      </c>
      <c r="F16" s="18" t="str">
        <v>circle_look</v>
      </c>
      <c r="G16" s="18" t="str">
        <v>Whispering</v>
      </c>
      <c r="H16" s="18"/>
      <c r="I16" s="18" t="str">
        <v/>
      </c>
      <c r="J16" s="19"/>
    </row>
    <row r="17" spans="2:10" ht="19">
      <c r="B17" s="20"/>
      <c r="C17" s="13" t="s">
        <v>513</v>
      </c>
      <c r="D17" s="1"/>
      <c r="F17" s="18" t="str">
        <v>growl</v>
      </c>
      <c r="G17" s="18" t="str">
        <v>Friendly</v>
      </c>
      <c r="H17" s="18"/>
      <c r="I17" s="18" t="str">
        <v/>
      </c>
      <c r="J17" s="19"/>
    </row>
    <row r="18" spans="2:10" ht="19">
      <c r="B18" s="20" t="s">
        <v>514</v>
      </c>
      <c r="C18" s="21" t="s">
        <v>515</v>
      </c>
      <c r="D18" s="1"/>
      <c r="F18" s="18" t="str">
        <v>judge</v>
      </c>
      <c r="G18" s="18" t="str">
        <v>Hopeful</v>
      </c>
      <c r="H18" s="18"/>
      <c r="I18" s="18"/>
      <c r="J18" s="19"/>
    </row>
    <row r="19" spans="2:10" ht="19">
      <c r="B19" s="20" t="s">
        <v>516</v>
      </c>
      <c r="C19" s="13" t="s">
        <v>517</v>
      </c>
      <c r="D19" s="2" t="s">
        <v>499</v>
      </c>
      <c r="F19" s="18"/>
      <c r="G19" s="18"/>
      <c r="H19" s="18"/>
      <c r="I19" s="18"/>
      <c r="J19" s="19"/>
    </row>
    <row r="20" spans="2:10" ht="19">
      <c r="B20" s="20" t="s">
        <v>518</v>
      </c>
      <c r="C20" s="21" t="s">
        <v>519</v>
      </c>
      <c r="D20" s="1">
        <v>0</v>
      </c>
      <c r="F20" s="18"/>
      <c r="G20" s="18"/>
      <c r="H20" s="18"/>
      <c r="I20" s="18"/>
    </row>
    <row r="21" spans="2:10" ht="19">
      <c r="B21" s="20" t="s">
        <v>520</v>
      </c>
      <c r="C21" s="21" t="s">
        <v>521</v>
      </c>
      <c r="D21" s="1">
        <v>0</v>
      </c>
      <c r="F21" s="18"/>
      <c r="G21" s="18"/>
      <c r="H21" s="18"/>
      <c r="I21" s="18"/>
    </row>
    <row r="22" spans="2:10" ht="19">
      <c r="B22" s="20" t="s">
        <v>522</v>
      </c>
      <c r="C22" s="21" t="s">
        <v>523</v>
      </c>
      <c r="D22" s="1">
        <v>0</v>
      </c>
    </row>
    <row r="23" spans="2:10" ht="19">
      <c r="B23" s="20" t="s">
        <v>522</v>
      </c>
      <c r="C23" s="13" t="s">
        <v>524</v>
      </c>
      <c r="D23" s="1">
        <v>0</v>
      </c>
    </row>
    <row r="24" spans="2:10" ht="19">
      <c r="B24" s="20" t="s">
        <v>522</v>
      </c>
      <c r="C24" s="21" t="s">
        <v>525</v>
      </c>
      <c r="D24" s="1">
        <v>0</v>
      </c>
      <c r="G24" s="22"/>
      <c r="H24" s="19"/>
    </row>
    <row r="25" spans="2:10" ht="19">
      <c r="B25" s="20"/>
      <c r="C25" s="13" t="s">
        <v>513</v>
      </c>
      <c r="D25" s="1"/>
      <c r="H25" s="19"/>
    </row>
    <row r="26" spans="2:10" ht="19">
      <c r="B26" s="20" t="s">
        <v>526</v>
      </c>
      <c r="C26" s="21" t="s">
        <v>527</v>
      </c>
      <c r="D26" s="1"/>
    </row>
    <row r="27" spans="2:10" ht="19">
      <c r="B27" s="20" t="s">
        <v>528</v>
      </c>
      <c r="C27" s="21" t="s">
        <v>529</v>
      </c>
      <c r="D27" s="1">
        <v>-1</v>
      </c>
    </row>
    <row r="28" spans="2:10" ht="19">
      <c r="B28" s="20" t="s">
        <v>528</v>
      </c>
      <c r="C28" s="21" t="s">
        <v>530</v>
      </c>
      <c r="D28" s="1">
        <v>-1</v>
      </c>
    </row>
    <row r="29" spans="2:10" ht="19">
      <c r="B29" s="20" t="s">
        <v>528</v>
      </c>
      <c r="C29" s="21" t="s">
        <v>531</v>
      </c>
      <c r="D29" s="1">
        <v>-1</v>
      </c>
    </row>
    <row r="30" spans="2:10" ht="19">
      <c r="B30" s="20" t="s">
        <v>528</v>
      </c>
      <c r="C30" s="21" t="s">
        <v>532</v>
      </c>
      <c r="D30" s="1">
        <v>-1</v>
      </c>
    </row>
    <row r="31" spans="2:10" ht="19">
      <c r="B31" s="20" t="s">
        <v>528</v>
      </c>
      <c r="C31" s="21" t="s">
        <v>533</v>
      </c>
      <c r="D31" s="1">
        <v>-1</v>
      </c>
    </row>
    <row r="32" spans="2:10" ht="19">
      <c r="B32" s="20"/>
      <c r="C32" s="13" t="s">
        <v>513</v>
      </c>
      <c r="D32" s="1"/>
    </row>
    <row r="33" spans="2:4" ht="19">
      <c r="B33" s="20" t="s">
        <v>534</v>
      </c>
      <c r="C33" s="21" t="s">
        <v>535</v>
      </c>
      <c r="D33" s="1"/>
    </row>
    <row r="34" spans="2:4" ht="19">
      <c r="B34" s="20" t="s">
        <v>536</v>
      </c>
      <c r="C34" s="21" t="s">
        <v>537</v>
      </c>
      <c r="D34" s="2" t="s">
        <v>499</v>
      </c>
    </row>
    <row r="35" spans="2:4" ht="19">
      <c r="B35" s="20" t="s">
        <v>538</v>
      </c>
      <c r="C35" s="21" t="s">
        <v>539</v>
      </c>
      <c r="D35" s="1">
        <v>-1</v>
      </c>
    </row>
    <row r="36" spans="2:4" ht="19">
      <c r="B36" s="20"/>
      <c r="C36" s="13" t="s">
        <v>540</v>
      </c>
    </row>
    <row r="37" spans="2:4" ht="19">
      <c r="B37" s="20"/>
      <c r="C37" s="13" t="s">
        <v>485</v>
      </c>
    </row>
    <row r="38" spans="2:4">
      <c r="B38" s="23"/>
    </row>
    <row r="39" spans="2:4">
      <c r="B39" s="23"/>
    </row>
    <row r="40" spans="2:4">
      <c r="B40" s="23"/>
    </row>
  </sheetData>
  <printOptions horizontalCentered="1" verticalCentered="1" gridLines="1"/>
  <pageMargins left="0.7" right="0.7" top="0.75" bottom="0.75" header="0.511811023622047" footer="0.511811023622047"/>
  <pageSetup paperSize="9" orientation="landscape"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97B2B-82DD-3740-B36A-8018279F9D19}">
  <dimension ref="A1:G37"/>
  <sheetViews>
    <sheetView topLeftCell="A33" workbookViewId="0">
      <selection activeCell="N1" sqref="N1:Q10"/>
    </sheetView>
  </sheetViews>
  <sheetFormatPr baseColWidth="10" defaultColWidth="11" defaultRowHeight="16"/>
  <sheetData>
    <row r="1" spans="1:7">
      <c r="A1" s="93" t="s">
        <v>541</v>
      </c>
      <c r="B1" s="93"/>
      <c r="C1" s="93"/>
      <c r="D1" s="93"/>
      <c r="E1" s="93"/>
      <c r="F1" s="93"/>
      <c r="G1" s="93"/>
    </row>
    <row r="2" spans="1:7">
      <c r="A2" s="93" t="s">
        <v>542</v>
      </c>
      <c r="B2" s="93"/>
      <c r="C2" s="93"/>
      <c r="D2" s="93"/>
      <c r="E2" s="93"/>
      <c r="F2" s="93"/>
      <c r="G2" s="93"/>
    </row>
    <row r="3" spans="1:7">
      <c r="A3" s="90"/>
      <c r="B3" s="90"/>
      <c r="C3" s="90"/>
      <c r="D3" s="90"/>
      <c r="E3" s="90"/>
      <c r="F3" s="90"/>
      <c r="G3" s="90"/>
    </row>
    <row r="9" spans="1:7">
      <c r="A9" s="91" t="s">
        <v>543</v>
      </c>
      <c r="B9" s="90" t="s">
        <v>544</v>
      </c>
    </row>
    <row r="10" spans="1:7">
      <c r="A10" s="91" t="s">
        <v>545</v>
      </c>
      <c r="B10" s="90" t="s">
        <v>546</v>
      </c>
    </row>
    <row r="11" spans="1:7">
      <c r="A11" s="90"/>
      <c r="B11" s="90"/>
    </row>
    <row r="12" spans="1:7">
      <c r="A12" s="92" t="s">
        <v>547</v>
      </c>
      <c r="B12" s="92" t="s">
        <v>548</v>
      </c>
    </row>
    <row r="13" spans="1:7">
      <c r="A13" s="92" t="s">
        <v>549</v>
      </c>
      <c r="B13" s="92" t="s">
        <v>550</v>
      </c>
    </row>
    <row r="14" spans="1:7">
      <c r="A14" s="92" t="s">
        <v>551</v>
      </c>
      <c r="B14" s="92" t="s">
        <v>552</v>
      </c>
    </row>
    <row r="15" spans="1:7">
      <c r="A15" s="92" t="s">
        <v>553</v>
      </c>
      <c r="B15" s="92" t="s">
        <v>554</v>
      </c>
    </row>
    <row r="16" spans="1:7">
      <c r="A16" s="92" t="s">
        <v>555</v>
      </c>
      <c r="B16" s="92" t="s">
        <v>556</v>
      </c>
    </row>
    <row r="22" spans="1:5">
      <c r="A22" s="90"/>
      <c r="B22" s="90"/>
      <c r="C22" s="90"/>
      <c r="D22" s="90"/>
      <c r="E22" s="90"/>
    </row>
    <row r="23" spans="1:5">
      <c r="A23" s="91" t="s">
        <v>557</v>
      </c>
      <c r="B23" s="92">
        <v>250</v>
      </c>
      <c r="C23" s="90" t="str">
        <f t="shared" ref="C23:C28" si="0">pause_pre &amp; B23 &amp; pause_post</f>
        <v>&lt;break time='250ms' /&gt;</v>
      </c>
      <c r="D23" s="90"/>
      <c r="E23" s="90"/>
    </row>
    <row r="24" spans="1:5">
      <c r="A24" s="91" t="s">
        <v>558</v>
      </c>
      <c r="B24" s="92">
        <v>500</v>
      </c>
      <c r="C24" s="90" t="str">
        <f t="shared" si="0"/>
        <v>&lt;break time='500ms' /&gt;</v>
      </c>
      <c r="D24" s="90"/>
      <c r="E24" s="90"/>
    </row>
    <row r="25" spans="1:5">
      <c r="A25" s="91" t="s">
        <v>559</v>
      </c>
      <c r="B25" s="92">
        <v>750</v>
      </c>
      <c r="C25" s="90" t="str">
        <f t="shared" si="0"/>
        <v>&lt;break time='750ms' /&gt;</v>
      </c>
      <c r="D25" s="90"/>
      <c r="E25" s="90"/>
    </row>
    <row r="26" spans="1:5">
      <c r="A26" s="91" t="s">
        <v>560</v>
      </c>
      <c r="B26" s="92">
        <v>1000</v>
      </c>
      <c r="C26" s="90" t="str">
        <f t="shared" si="0"/>
        <v>&lt;break time='1000ms' /&gt;</v>
      </c>
      <c r="D26" s="90"/>
      <c r="E26" s="90"/>
    </row>
    <row r="27" spans="1:5">
      <c r="A27" s="91" t="s">
        <v>561</v>
      </c>
      <c r="B27" s="92">
        <v>1250</v>
      </c>
      <c r="C27" s="90" t="str">
        <f t="shared" si="0"/>
        <v>&lt;break time='1250ms' /&gt;</v>
      </c>
      <c r="D27" s="90"/>
      <c r="E27" s="90"/>
    </row>
    <row r="28" spans="1:5">
      <c r="A28" s="90"/>
      <c r="B28" s="92">
        <v>2000</v>
      </c>
      <c r="C28" s="90" t="str">
        <f t="shared" si="0"/>
        <v>&lt;break time='2000ms' /&gt;</v>
      </c>
      <c r="D28" s="90"/>
      <c r="E28" s="90"/>
    </row>
    <row r="29" spans="1:5">
      <c r="A29" s="90"/>
      <c r="B29" s="90"/>
      <c r="C29" s="90"/>
      <c r="D29" s="90"/>
      <c r="E29" s="90"/>
    </row>
    <row r="37" spans="6:6">
      <c r="F37" s="35" t="s">
        <v>562</v>
      </c>
    </row>
  </sheetData>
  <conditionalFormatting sqref="F37">
    <cfRule type="expression" dxfId="10" priority="3" stopIfTrue="1">
      <formula>$B37="x"</formula>
    </cfRule>
    <cfRule type="expression" dxfId="9" priority="4" stopIfTrue="1">
      <formula>$C37="spoken"</formula>
    </cfRule>
    <cfRule type="expression" dxfId="8" priority="5" stopIfTrue="1">
      <formula>$C37="play"</formula>
    </cfRule>
    <cfRule type="expression" dxfId="7" priority="6">
      <formula>$C37="screen"</formula>
    </cfRule>
    <cfRule type="expression" dxfId="6" priority="9">
      <formula>$C37="speak"</formula>
    </cfRule>
    <cfRule type="expression" dxfId="5" priority="10" stopIfTrue="1">
      <formula>$C37="maketext"</formula>
    </cfRule>
    <cfRule type="expression" dxfId="4" priority="11">
      <formula>$C37="listen"</formula>
    </cfRule>
  </conditionalFormatting>
  <conditionalFormatting sqref="F37">
    <cfRule type="expression" dxfId="3" priority="1" stopIfTrue="1">
      <formula>ISNUMBER(SEARCH("makefakes",$C37))</formula>
    </cfRule>
    <cfRule type="expression" dxfId="2" priority="2" stopIfTrue="1">
      <formula>OR($C37="deepfake_data",$C37="mask_screenvoice",$C37="screen_azurevoice")</formula>
    </cfRule>
    <cfRule type="expression" dxfId="1" priority="7">
      <formula>OR($C37="mood",$C37="state",$C37="action",$C37="pause")</formula>
    </cfRule>
    <cfRule type="expression" dxfId="0" priority="8" stopIfTrue="1">
      <formula>OR($C37="observe",$C37="observe",$C37="register")</formula>
    </cfRule>
  </conditionalFormatting>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105</vt:i4>
      </vt:variant>
    </vt:vector>
  </HeadingPairs>
  <TitlesOfParts>
    <vt:vector size="114" baseType="lpstr">
      <vt:lpstr>Cues</vt:lpstr>
      <vt:lpstr>cues_canonical</vt:lpstr>
      <vt:lpstr>bot_commands</vt:lpstr>
      <vt:lpstr>td_commands</vt:lpstr>
      <vt:lpstr>av_commands</vt:lpstr>
      <vt:lpstr>triggers</vt:lpstr>
      <vt:lpstr>Settings</vt:lpstr>
      <vt:lpstr>Structure</vt:lpstr>
      <vt:lpstr>Scratch</vt:lpstr>
      <vt:lpstr>audio_base_azure</vt:lpstr>
      <vt:lpstr>audio_base_path</vt:lpstr>
      <vt:lpstr>channel_av_listen</vt:lpstr>
      <vt:lpstr>channel_av_observe</vt:lpstr>
      <vt:lpstr>channel_av_register</vt:lpstr>
      <vt:lpstr>channel_bw_generate</vt:lpstr>
      <vt:lpstr>channel_td_makefakes</vt:lpstr>
      <vt:lpstr>channel_td_mood</vt:lpstr>
      <vt:lpstr>channel_td_pause</vt:lpstr>
      <vt:lpstr>channel_td_screen</vt:lpstr>
      <vt:lpstr>do_anim</vt:lpstr>
      <vt:lpstr>flag_local_ip</vt:lpstr>
      <vt:lpstr>flag_local_play</vt:lpstr>
      <vt:lpstr>j_cls</vt:lpstr>
      <vt:lpstr>j_cls_brak</vt:lpstr>
      <vt:lpstr>j_com</vt:lpstr>
      <vt:lpstr>j_end</vt:lpstr>
      <vt:lpstr>j_end_num</vt:lpstr>
      <vt:lpstr>j_nxt</vt:lpstr>
      <vt:lpstr>j_nxt_num</vt:lpstr>
      <vt:lpstr>j_opn</vt:lpstr>
      <vt:lpstr>j_opn_brak</vt:lpstr>
      <vt:lpstr>j_opn_solo</vt:lpstr>
      <vt:lpstr>j_qot</vt:lpstr>
      <vt:lpstr>j_sep</vt:lpstr>
      <vt:lpstr>J_sep_num</vt:lpstr>
      <vt:lpstr>J_sub_cls</vt:lpstr>
      <vt:lpstr>j_sub_cls_num</vt:lpstr>
      <vt:lpstr>j_sub_opn</vt:lpstr>
      <vt:lpstr>label_anger</vt:lpstr>
      <vt:lpstr>label_animate</vt:lpstr>
      <vt:lpstr>label_azure</vt:lpstr>
      <vt:lpstr>label_deepfake_de</vt:lpstr>
      <vt:lpstr>label_deepfake_en</vt:lpstr>
      <vt:lpstr>label_deepfake_filename</vt:lpstr>
      <vt:lpstr>label_deepfake_id</vt:lpstr>
      <vt:lpstr>label_deepfake_name</vt:lpstr>
      <vt:lpstr>label_deepfake_voice</vt:lpstr>
      <vt:lpstr>label_degree</vt:lpstr>
      <vt:lpstr>label_disgust</vt:lpstr>
      <vt:lpstr>label_emotion</vt:lpstr>
      <vt:lpstr>label_fake_expression</vt:lpstr>
      <vt:lpstr>label_fake_expressions</vt:lpstr>
      <vt:lpstr>label_fake_intensity</vt:lpstr>
      <vt:lpstr>label_fake_start_frame</vt:lpstr>
      <vt:lpstr>label_fear</vt:lpstr>
      <vt:lpstr>label_freq</vt:lpstr>
      <vt:lpstr>label_gpt_emo</vt:lpstr>
      <vt:lpstr>label_gpt_tone</vt:lpstr>
      <vt:lpstr>label_joy</vt:lpstr>
      <vt:lpstr>label_meat</vt:lpstr>
      <vt:lpstr>label_meat_channel</vt:lpstr>
      <vt:lpstr>label_mood</vt:lpstr>
      <vt:lpstr>label_next_state</vt:lpstr>
      <vt:lpstr>label_pause</vt:lpstr>
      <vt:lpstr>label_pitch</vt:lpstr>
      <vt:lpstr>label_post</vt:lpstr>
      <vt:lpstr>label_pre</vt:lpstr>
      <vt:lpstr>label_rate</vt:lpstr>
      <vt:lpstr>label_role</vt:lpstr>
      <vt:lpstr>label_sad</vt:lpstr>
      <vt:lpstr>label_scale</vt:lpstr>
      <vt:lpstr>label_sg</vt:lpstr>
      <vt:lpstr>label_style</vt:lpstr>
      <vt:lpstr>label_text</vt:lpstr>
      <vt:lpstr>label_turn</vt:lpstr>
      <vt:lpstr>label_volume</vt:lpstr>
      <vt:lpstr>language</vt:lpstr>
      <vt:lpstr>languages</vt:lpstr>
      <vt:lpstr>list_animations</vt:lpstr>
      <vt:lpstr>list_azu_styles</vt:lpstr>
      <vt:lpstr>list_gpt_emotion</vt:lpstr>
      <vt:lpstr>list_gpt_tones</vt:lpstr>
      <vt:lpstr>list_ips</vt:lpstr>
      <vt:lpstr>list_mask_roles</vt:lpstr>
      <vt:lpstr>list_sg_moods</vt:lpstr>
      <vt:lpstr>list_unreal_states</vt:lpstr>
      <vt:lpstr>master_list</vt:lpstr>
      <vt:lpstr>neutral</vt:lpstr>
      <vt:lpstr>osc_channel_meat_fake</vt:lpstr>
      <vt:lpstr>osc_channel_meat_play</vt:lpstr>
      <vt:lpstr>osc_channel_meat_say</vt:lpstr>
      <vt:lpstr>osc_channel_meat_state</vt:lpstr>
      <vt:lpstr>osc_channel_meat_stub</vt:lpstr>
      <vt:lpstr>osc_channel_play_audio</vt:lpstr>
      <vt:lpstr>osc_exe_npmosc</vt:lpstr>
      <vt:lpstr>osc_exe_sendosc</vt:lpstr>
      <vt:lpstr>osc_ip</vt:lpstr>
      <vt:lpstr>osc_port_control</vt:lpstr>
      <vt:lpstr>osc_port_unreal</vt:lpstr>
      <vt:lpstr>pause</vt:lpstr>
      <vt:lpstr>pause_post</vt:lpstr>
      <vt:lpstr>pause_pre</vt:lpstr>
      <vt:lpstr>Structure!Print_Area</vt:lpstr>
      <vt:lpstr>table_bot_commands</vt:lpstr>
      <vt:lpstr>table_observe_commands</vt:lpstr>
      <vt:lpstr>table_td_commands</vt:lpstr>
      <vt:lpstr>table_triggers</vt:lpstr>
      <vt:lpstr>trigger_clone_spoke</vt:lpstr>
      <vt:lpstr>trigger_mask_spoke</vt:lpstr>
      <vt:lpstr>trigger_user_enters</vt:lpstr>
      <vt:lpstr>trigger_user_faceaway</vt:lpstr>
      <vt:lpstr>trigger_user_facetowards</vt:lpstr>
      <vt:lpstr>trigger_user_spoke</vt:lpstr>
      <vt:lpstr>voice_name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Flurin Hendry</dc:creator>
  <cp:keywords/>
  <dc:description/>
  <cp:lastModifiedBy>Manuel Flurin Hendry</cp:lastModifiedBy>
  <cp:revision>6</cp:revision>
  <dcterms:created xsi:type="dcterms:W3CDTF">2023-09-30T10:27:12Z</dcterms:created>
  <dcterms:modified xsi:type="dcterms:W3CDTF">2025-03-20T21:11:08Z</dcterms:modified>
  <cp:category/>
  <cp:contentStatus/>
</cp:coreProperties>
</file>